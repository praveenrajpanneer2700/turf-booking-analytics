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356F7D22-C57B-4DD5-AA64-39A7194D537C}" xr6:coauthVersionLast="47" xr6:coauthVersionMax="47" xr10:uidLastSave="{00000000-0000-0000-0000-000000000000}"/>
  <bookViews>
    <workbookView xWindow="-110" yWindow="-110" windowWidth="19420" windowHeight="10300" tabRatio="500" firstSheet="3" activeTab="6" xr2:uid="{00000000-000D-0000-FFFF-FFFF00000000}"/>
  </bookViews>
  <sheets>
    <sheet name="Cleaned Data" sheetId="3" r:id="rId1"/>
    <sheet name="Dept Attendance" sheetId="7" r:id="rId2"/>
    <sheet name="Status Overview" sheetId="9" r:id="rId3"/>
    <sheet name="Daily Trend" sheetId="11" r:id="rId4"/>
    <sheet name="Data Quality" sheetId="12" r:id="rId5"/>
    <sheet name="KPI Dashboard" sheetId="16" r:id="rId6"/>
    <sheet name="Dashboard" sheetId="25" r:id="rId7"/>
  </sheets>
  <definedNames>
    <definedName name="_xlnm._FilterDatabase" localSheetId="0" hidden="1">'Cleaned Data'!$A$2:$M$752</definedName>
    <definedName name="Slicer_Department">#N/A</definedName>
    <definedName name="Slicer_Statu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 i="16" l="1"/>
  <c r="B3" i="16"/>
  <c r="B5" i="16"/>
  <c r="B6" i="16"/>
  <c r="B4" i="16" a="1"/>
  <c r="B4" i="16" s="1"/>
  <c r="I482" i="3"/>
  <c r="H482" i="3"/>
  <c r="K362" i="3"/>
  <c r="J362" i="3"/>
  <c r="I362" i="3"/>
  <c r="I752" i="3"/>
  <c r="H752" i="3"/>
  <c r="I242" i="3"/>
  <c r="H242" i="3"/>
  <c r="K242" i="3" s="1"/>
  <c r="I662" i="3"/>
  <c r="H662" i="3"/>
  <c r="K182" i="3"/>
  <c r="J182" i="3"/>
  <c r="I182" i="3"/>
  <c r="I452" i="3"/>
  <c r="H452" i="3"/>
  <c r="J452" i="3" s="1"/>
  <c r="I722" i="3"/>
  <c r="H722" i="3"/>
  <c r="K722" i="3" s="1"/>
  <c r="I481" i="3"/>
  <c r="H481" i="3"/>
  <c r="I241" i="3"/>
  <c r="H241" i="3"/>
  <c r="K241" i="3" s="1"/>
  <c r="I92" i="3"/>
  <c r="H92" i="3"/>
  <c r="K92" i="3" s="1"/>
  <c r="I122" i="3"/>
  <c r="H122" i="3"/>
  <c r="K122" i="3" s="1"/>
  <c r="I152" i="3"/>
  <c r="H152" i="3"/>
  <c r="I151" i="3"/>
  <c r="H151" i="3"/>
  <c r="J151" i="3" s="1"/>
  <c r="I632" i="3"/>
  <c r="H632" i="3"/>
  <c r="K632" i="3" s="1"/>
  <c r="I751" i="3"/>
  <c r="H751" i="3"/>
  <c r="I422" i="3"/>
  <c r="H422" i="3"/>
  <c r="I451" i="3"/>
  <c r="H451" i="3"/>
  <c r="J451" i="3" s="1"/>
  <c r="K272" i="3"/>
  <c r="J272" i="3"/>
  <c r="I272" i="3"/>
  <c r="I302" i="3"/>
  <c r="H302" i="3"/>
  <c r="K692" i="3"/>
  <c r="J692" i="3"/>
  <c r="I692" i="3"/>
  <c r="I91" i="3"/>
  <c r="H91" i="3"/>
  <c r="I271" i="3"/>
  <c r="H271" i="3"/>
  <c r="K271" i="3" s="1"/>
  <c r="I572" i="3"/>
  <c r="H572" i="3"/>
  <c r="I631" i="3"/>
  <c r="H631" i="3"/>
  <c r="J631" i="3" s="1"/>
  <c r="I630" i="3"/>
  <c r="H630" i="3"/>
  <c r="K630" i="3" s="1"/>
  <c r="I750" i="3"/>
  <c r="H750" i="3"/>
  <c r="K750" i="3" s="1"/>
  <c r="I629" i="3"/>
  <c r="H629" i="3"/>
  <c r="I301" i="3"/>
  <c r="H301" i="3"/>
  <c r="K301" i="3" s="1"/>
  <c r="I721" i="3"/>
  <c r="H721" i="3"/>
  <c r="K721" i="3" s="1"/>
  <c r="I32" i="3"/>
  <c r="H32" i="3"/>
  <c r="K32" i="3" s="1"/>
  <c r="I691" i="3"/>
  <c r="H691" i="3"/>
  <c r="K332" i="3"/>
  <c r="J332" i="3"/>
  <c r="I332" i="3"/>
  <c r="K240" i="3"/>
  <c r="J240" i="3"/>
  <c r="I240" i="3"/>
  <c r="I542" i="3"/>
  <c r="H542" i="3"/>
  <c r="I628" i="3"/>
  <c r="H628" i="3"/>
  <c r="K628" i="3" s="1"/>
  <c r="I541" i="3"/>
  <c r="H541" i="3"/>
  <c r="K541" i="3" s="1"/>
  <c r="K212" i="3"/>
  <c r="J212" i="3"/>
  <c r="I212" i="3"/>
  <c r="I421" i="3"/>
  <c r="H421" i="3"/>
  <c r="I331" i="3"/>
  <c r="H331" i="3"/>
  <c r="J331" i="3" s="1"/>
  <c r="I690" i="3"/>
  <c r="H690" i="3"/>
  <c r="K690" i="3" s="1"/>
  <c r="I62" i="3"/>
  <c r="H62" i="3"/>
  <c r="I270" i="3"/>
  <c r="H270" i="3"/>
  <c r="K270" i="3" s="1"/>
  <c r="I512" i="3"/>
  <c r="H512" i="3"/>
  <c r="K512" i="3" s="1"/>
  <c r="I420" i="3"/>
  <c r="H420" i="3"/>
  <c r="I121" i="3"/>
  <c r="H121" i="3"/>
  <c r="I269" i="3"/>
  <c r="H269" i="3"/>
  <c r="I540" i="3"/>
  <c r="H540" i="3"/>
  <c r="K540" i="3" s="1"/>
  <c r="I661" i="3"/>
  <c r="H661" i="3"/>
  <c r="J661" i="3" s="1"/>
  <c r="I627" i="3"/>
  <c r="H627" i="3"/>
  <c r="I571" i="3"/>
  <c r="H571" i="3"/>
  <c r="K571" i="3" s="1"/>
  <c r="I31" i="3"/>
  <c r="H31" i="3"/>
  <c r="J31" i="3" s="1"/>
  <c r="I392" i="3"/>
  <c r="H392" i="3"/>
  <c r="I330" i="3"/>
  <c r="H330" i="3"/>
  <c r="I150" i="3"/>
  <c r="H150" i="3"/>
  <c r="K150" i="3" s="1"/>
  <c r="I419" i="3"/>
  <c r="H419" i="3"/>
  <c r="K419" i="3" s="1"/>
  <c r="I602" i="3"/>
  <c r="H602" i="3"/>
  <c r="K602" i="3" s="1"/>
  <c r="I450" i="3"/>
  <c r="H450" i="3"/>
  <c r="I391" i="3"/>
  <c r="H391" i="3"/>
  <c r="K391" i="3" s="1"/>
  <c r="I570" i="3"/>
  <c r="H570" i="3"/>
  <c r="J570" i="3" s="1"/>
  <c r="I720" i="3"/>
  <c r="H720" i="3"/>
  <c r="K720" i="3" s="1"/>
  <c r="I181" i="3"/>
  <c r="H181" i="3"/>
  <c r="I511" i="3"/>
  <c r="H511" i="3"/>
  <c r="J511" i="3" s="1"/>
  <c r="I90" i="3"/>
  <c r="H90" i="3"/>
  <c r="K90" i="3" s="1"/>
  <c r="I30" i="3"/>
  <c r="H30" i="3"/>
  <c r="J30" i="3" s="1"/>
  <c r="I626" i="3"/>
  <c r="H626" i="3"/>
  <c r="I89" i="3"/>
  <c r="H89" i="3"/>
  <c r="K89" i="3" s="1"/>
  <c r="K29" i="3"/>
  <c r="J29" i="3"/>
  <c r="I29" i="3"/>
  <c r="I268" i="3"/>
  <c r="H268" i="3"/>
  <c r="K268" i="3" s="1"/>
  <c r="I239" i="3"/>
  <c r="H239" i="3"/>
  <c r="I61" i="3"/>
  <c r="H61" i="3"/>
  <c r="K61" i="3" s="1"/>
  <c r="I88" i="3"/>
  <c r="H88" i="3"/>
  <c r="K88" i="3" s="1"/>
  <c r="K418" i="3"/>
  <c r="J418" i="3"/>
  <c r="I418" i="3"/>
  <c r="I539" i="3"/>
  <c r="H539" i="3"/>
  <c r="J539" i="3" s="1"/>
  <c r="I300" i="3"/>
  <c r="H300" i="3"/>
  <c r="K300" i="3" s="1"/>
  <c r="I538" i="3"/>
  <c r="H538" i="3"/>
  <c r="J538" i="3" s="1"/>
  <c r="I449" i="3"/>
  <c r="H449" i="3"/>
  <c r="I448" i="3"/>
  <c r="H448" i="3"/>
  <c r="J448" i="3" s="1"/>
  <c r="I719" i="3"/>
  <c r="H719" i="3"/>
  <c r="K719" i="3" s="1"/>
  <c r="K417" i="3"/>
  <c r="J417" i="3"/>
  <c r="I417" i="3"/>
  <c r="I87" i="3"/>
  <c r="H87" i="3"/>
  <c r="I660" i="3"/>
  <c r="H660" i="3"/>
  <c r="K660" i="3" s="1"/>
  <c r="I569" i="3"/>
  <c r="H569" i="3"/>
  <c r="K569" i="3" s="1"/>
  <c r="I180" i="3"/>
  <c r="H180" i="3"/>
  <c r="K180" i="3" s="1"/>
  <c r="K86" i="3"/>
  <c r="J86" i="3"/>
  <c r="I86" i="3"/>
  <c r="I329" i="3"/>
  <c r="H329" i="3"/>
  <c r="K329" i="3" s="1"/>
  <c r="I85" i="3"/>
  <c r="H85" i="3"/>
  <c r="J85" i="3" s="1"/>
  <c r="K537" i="3"/>
  <c r="J537" i="3"/>
  <c r="I537" i="3"/>
  <c r="I211" i="3"/>
  <c r="H211" i="3"/>
  <c r="K211" i="3" s="1"/>
  <c r="I718" i="3"/>
  <c r="H718" i="3"/>
  <c r="K718" i="3" s="1"/>
  <c r="I361" i="3"/>
  <c r="H361" i="3"/>
  <c r="I416" i="3"/>
  <c r="H416" i="3"/>
  <c r="K625" i="3"/>
  <c r="J625" i="3"/>
  <c r="I625" i="3"/>
  <c r="I659" i="3"/>
  <c r="H659" i="3"/>
  <c r="J659" i="3" s="1"/>
  <c r="I689" i="3"/>
  <c r="H689" i="3"/>
  <c r="I717" i="3"/>
  <c r="H717" i="3"/>
  <c r="J717" i="3" s="1"/>
  <c r="I658" i="3"/>
  <c r="H658" i="3"/>
  <c r="K658" i="3" s="1"/>
  <c r="I84" i="3"/>
  <c r="H84" i="3"/>
  <c r="I716" i="3"/>
  <c r="H716" i="3"/>
  <c r="I447" i="3"/>
  <c r="H447" i="3"/>
  <c r="K447" i="3" s="1"/>
  <c r="I267" i="3"/>
  <c r="H267" i="3"/>
  <c r="K267" i="3" s="1"/>
  <c r="I60" i="3"/>
  <c r="H60" i="3"/>
  <c r="K60" i="3" s="1"/>
  <c r="K266" i="3"/>
  <c r="J266" i="3"/>
  <c r="I266" i="3"/>
  <c r="I657" i="3"/>
  <c r="H657" i="3"/>
  <c r="K657" i="3" s="1"/>
  <c r="I446" i="3"/>
  <c r="H446" i="3"/>
  <c r="K446" i="3" s="1"/>
  <c r="I480" i="3"/>
  <c r="H480" i="3"/>
  <c r="K480" i="3" s="1"/>
  <c r="I624" i="3"/>
  <c r="H624" i="3"/>
  <c r="K623" i="3"/>
  <c r="J623" i="3"/>
  <c r="I623" i="3"/>
  <c r="I59" i="3"/>
  <c r="H59" i="3"/>
  <c r="K59" i="3" s="1"/>
  <c r="I328" i="3"/>
  <c r="H328" i="3"/>
  <c r="I688" i="3"/>
  <c r="H688" i="3"/>
  <c r="J688" i="3" s="1"/>
  <c r="I179" i="3"/>
  <c r="H179" i="3"/>
  <c r="J179" i="3" s="1"/>
  <c r="I149" i="3"/>
  <c r="H149" i="3"/>
  <c r="J149" i="3" s="1"/>
  <c r="K749" i="3"/>
  <c r="J749" i="3"/>
  <c r="I749" i="3"/>
  <c r="I148" i="3"/>
  <c r="H148" i="3"/>
  <c r="J148" i="3" s="1"/>
  <c r="I28" i="3"/>
  <c r="H28" i="3"/>
  <c r="J28" i="3" s="1"/>
  <c r="I178" i="3"/>
  <c r="H178" i="3"/>
  <c r="I510" i="3"/>
  <c r="H510" i="3"/>
  <c r="K360" i="3"/>
  <c r="J360" i="3"/>
  <c r="I360" i="3"/>
  <c r="K536" i="3"/>
  <c r="J536" i="3"/>
  <c r="I536" i="3"/>
  <c r="I535" i="3"/>
  <c r="H535" i="3"/>
  <c r="I265" i="3"/>
  <c r="H265" i="3"/>
  <c r="I177" i="3"/>
  <c r="H177" i="3"/>
  <c r="K177" i="3" s="1"/>
  <c r="I390" i="3"/>
  <c r="H390" i="3"/>
  <c r="K390" i="3" s="1"/>
  <c r="I147" i="3"/>
  <c r="H147" i="3"/>
  <c r="I299" i="3"/>
  <c r="H299" i="3"/>
  <c r="K299" i="3" s="1"/>
  <c r="I58" i="3"/>
  <c r="H58" i="3"/>
  <c r="J58" i="3" s="1"/>
  <c r="I359" i="3"/>
  <c r="H359" i="3"/>
  <c r="I298" i="3"/>
  <c r="H298" i="3"/>
  <c r="K534" i="3"/>
  <c r="J534" i="3"/>
  <c r="I534" i="3"/>
  <c r="I83" i="3"/>
  <c r="H83" i="3"/>
  <c r="J83" i="3" s="1"/>
  <c r="I264" i="3"/>
  <c r="H264" i="3"/>
  <c r="I601" i="3"/>
  <c r="H601" i="3"/>
  <c r="J601" i="3" s="1"/>
  <c r="I656" i="3"/>
  <c r="H656" i="3"/>
  <c r="J656" i="3" s="1"/>
  <c r="I82" i="3"/>
  <c r="H82" i="3"/>
  <c r="I146" i="3"/>
  <c r="H146" i="3"/>
  <c r="I479" i="3"/>
  <c r="H479" i="3"/>
  <c r="J479" i="3" s="1"/>
  <c r="I715" i="3"/>
  <c r="H715" i="3"/>
  <c r="K715" i="3" s="1"/>
  <c r="I389" i="3"/>
  <c r="H389" i="3"/>
  <c r="K389" i="3" s="1"/>
  <c r="I687" i="3"/>
  <c r="H687" i="3"/>
  <c r="I600" i="3"/>
  <c r="H600" i="3"/>
  <c r="K600" i="3" s="1"/>
  <c r="K686" i="3"/>
  <c r="J686" i="3"/>
  <c r="I686" i="3"/>
  <c r="K388" i="3"/>
  <c r="J388" i="3"/>
  <c r="I388" i="3"/>
  <c r="I176" i="3"/>
  <c r="H176" i="3"/>
  <c r="J176" i="3" s="1"/>
  <c r="K263" i="3"/>
  <c r="J263" i="3"/>
  <c r="I263" i="3"/>
  <c r="I120" i="3"/>
  <c r="H120" i="3"/>
  <c r="K120" i="3" s="1"/>
  <c r="I685" i="3"/>
  <c r="H685" i="3"/>
  <c r="I238" i="3"/>
  <c r="H238" i="3"/>
  <c r="I57" i="3"/>
  <c r="H57" i="3"/>
  <c r="K684" i="3"/>
  <c r="J684" i="3"/>
  <c r="I684" i="3"/>
  <c r="K714" i="3"/>
  <c r="J714" i="3"/>
  <c r="I714" i="3"/>
  <c r="K56" i="3"/>
  <c r="J56" i="3"/>
  <c r="I56" i="3"/>
  <c r="I509" i="3"/>
  <c r="H509" i="3"/>
  <c r="K387" i="3"/>
  <c r="J387" i="3"/>
  <c r="I387" i="3"/>
  <c r="I415" i="3"/>
  <c r="H415" i="3"/>
  <c r="K415" i="3" s="1"/>
  <c r="I175" i="3"/>
  <c r="H175" i="3"/>
  <c r="K210" i="3"/>
  <c r="J210" i="3"/>
  <c r="I210" i="3"/>
  <c r="I55" i="3"/>
  <c r="H55" i="3"/>
  <c r="K55" i="3" s="1"/>
  <c r="I445" i="3"/>
  <c r="H445" i="3"/>
  <c r="K445" i="3" s="1"/>
  <c r="K237" i="3"/>
  <c r="J237" i="3"/>
  <c r="I237" i="3"/>
  <c r="I327" i="3"/>
  <c r="H327" i="3"/>
  <c r="J327" i="3" s="1"/>
  <c r="I326" i="3"/>
  <c r="H326" i="3"/>
  <c r="K326" i="3" s="1"/>
  <c r="K297" i="3"/>
  <c r="J297" i="3"/>
  <c r="I297" i="3"/>
  <c r="I81" i="3"/>
  <c r="H81" i="3"/>
  <c r="K81" i="3" s="1"/>
  <c r="I599" i="3"/>
  <c r="H599" i="3"/>
  <c r="K599" i="3" s="1"/>
  <c r="K386" i="3"/>
  <c r="J386" i="3"/>
  <c r="I386" i="3"/>
  <c r="I683" i="3"/>
  <c r="H683" i="3"/>
  <c r="I533" i="3"/>
  <c r="H533" i="3"/>
  <c r="J533" i="3" s="1"/>
  <c r="K54" i="3"/>
  <c r="J54" i="3"/>
  <c r="I54" i="3"/>
  <c r="I622" i="3"/>
  <c r="H622" i="3"/>
  <c r="I236" i="3"/>
  <c r="H236" i="3"/>
  <c r="K236" i="3" s="1"/>
  <c r="K532" i="3"/>
  <c r="J532" i="3"/>
  <c r="I532" i="3"/>
  <c r="K655" i="3"/>
  <c r="J655" i="3"/>
  <c r="I655" i="3"/>
  <c r="I414" i="3"/>
  <c r="H414" i="3"/>
  <c r="J414" i="3" s="1"/>
  <c r="I80" i="3"/>
  <c r="H80" i="3"/>
  <c r="J80" i="3" s="1"/>
  <c r="K478" i="3"/>
  <c r="J478" i="3"/>
  <c r="I478" i="3"/>
  <c r="K296" i="3"/>
  <c r="J296" i="3"/>
  <c r="I296" i="3"/>
  <c r="I325" i="3"/>
  <c r="H325" i="3"/>
  <c r="K325" i="3" s="1"/>
  <c r="K358" i="3"/>
  <c r="J358" i="3"/>
  <c r="I358" i="3"/>
  <c r="I682" i="3"/>
  <c r="H682" i="3"/>
  <c r="J682" i="3" s="1"/>
  <c r="I621" i="3"/>
  <c r="H621" i="3"/>
  <c r="I477" i="3"/>
  <c r="H477" i="3"/>
  <c r="K477" i="3" s="1"/>
  <c r="I27" i="3"/>
  <c r="H27" i="3"/>
  <c r="J27" i="3" s="1"/>
  <c r="I385" i="3"/>
  <c r="H385" i="3"/>
  <c r="I209" i="3"/>
  <c r="H209" i="3"/>
  <c r="I295" i="3"/>
  <c r="H295" i="3"/>
  <c r="K295" i="3" s="1"/>
  <c r="K598" i="3"/>
  <c r="J598" i="3"/>
  <c r="I598" i="3"/>
  <c r="K324" i="3"/>
  <c r="J324" i="3"/>
  <c r="I324" i="3"/>
  <c r="I262" i="3"/>
  <c r="H262" i="3"/>
  <c r="J262" i="3" s="1"/>
  <c r="I476" i="3"/>
  <c r="H476" i="3"/>
  <c r="K476" i="3" s="1"/>
  <c r="I597" i="3"/>
  <c r="H597" i="3"/>
  <c r="I208" i="3"/>
  <c r="H208" i="3"/>
  <c r="K208" i="3" s="1"/>
  <c r="I261" i="3"/>
  <c r="H261" i="3"/>
  <c r="K261" i="3" s="1"/>
  <c r="I174" i="3"/>
  <c r="H174" i="3"/>
  <c r="J174" i="3" s="1"/>
  <c r="K26" i="3"/>
  <c r="J26" i="3"/>
  <c r="I26" i="3"/>
  <c r="I25" i="3"/>
  <c r="H25" i="3"/>
  <c r="J25" i="3" s="1"/>
  <c r="I235" i="3"/>
  <c r="H235" i="3"/>
  <c r="I568" i="3"/>
  <c r="H568" i="3"/>
  <c r="K568" i="3" s="1"/>
  <c r="K357" i="3"/>
  <c r="J357" i="3"/>
  <c r="I357" i="3"/>
  <c r="I24" i="3"/>
  <c r="H24" i="3"/>
  <c r="K24" i="3" s="1"/>
  <c r="K681" i="3"/>
  <c r="J681" i="3"/>
  <c r="I681" i="3"/>
  <c r="I23" i="3"/>
  <c r="H23" i="3"/>
  <c r="I384" i="3"/>
  <c r="H384" i="3"/>
  <c r="J384" i="3" s="1"/>
  <c r="I323" i="3"/>
  <c r="H323" i="3"/>
  <c r="K323" i="3" s="1"/>
  <c r="I119" i="3"/>
  <c r="H119" i="3"/>
  <c r="K119" i="3" s="1"/>
  <c r="K567" i="3"/>
  <c r="J567" i="3"/>
  <c r="I567" i="3"/>
  <c r="I260" i="3"/>
  <c r="H260" i="3"/>
  <c r="K260" i="3" s="1"/>
  <c r="I680" i="3"/>
  <c r="H680" i="3"/>
  <c r="K680" i="3" s="1"/>
  <c r="I508" i="3"/>
  <c r="H508" i="3"/>
  <c r="I748" i="3"/>
  <c r="H748" i="3"/>
  <c r="K748" i="3" s="1"/>
  <c r="I145" i="3"/>
  <c r="H145" i="3"/>
  <c r="J145" i="3" s="1"/>
  <c r="I294" i="3"/>
  <c r="H294" i="3"/>
  <c r="I118" i="3"/>
  <c r="H118" i="3"/>
  <c r="I53" i="3"/>
  <c r="H53" i="3"/>
  <c r="K53" i="3" s="1"/>
  <c r="I234" i="3"/>
  <c r="H234" i="3"/>
  <c r="K234" i="3" s="1"/>
  <c r="I531" i="3"/>
  <c r="H531" i="3"/>
  <c r="K531" i="3" s="1"/>
  <c r="K444" i="3"/>
  <c r="J444" i="3"/>
  <c r="I444" i="3"/>
  <c r="I620" i="3"/>
  <c r="H620" i="3"/>
  <c r="K475" i="3"/>
  <c r="J475" i="3"/>
  <c r="I475" i="3"/>
  <c r="I507" i="3"/>
  <c r="H507" i="3"/>
  <c r="I117" i="3"/>
  <c r="H117" i="3"/>
  <c r="I530" i="3"/>
  <c r="H530" i="3"/>
  <c r="J530" i="3" s="1"/>
  <c r="K144" i="3"/>
  <c r="J144" i="3"/>
  <c r="I144" i="3"/>
  <c r="I413" i="3"/>
  <c r="H413" i="3"/>
  <c r="K79" i="3"/>
  <c r="J79" i="3"/>
  <c r="I79" i="3"/>
  <c r="I443" i="3"/>
  <c r="H443" i="3"/>
  <c r="I143" i="3"/>
  <c r="H143" i="3"/>
  <c r="I259" i="3"/>
  <c r="H259" i="3"/>
  <c r="K259" i="3" s="1"/>
  <c r="K596" i="3"/>
  <c r="J596" i="3"/>
  <c r="I596" i="3"/>
  <c r="I412" i="3"/>
  <c r="H412" i="3"/>
  <c r="K412" i="3" s="1"/>
  <c r="K713" i="3"/>
  <c r="J713" i="3"/>
  <c r="I713" i="3"/>
  <c r="I322" i="3"/>
  <c r="H322" i="3"/>
  <c r="J322" i="3" s="1"/>
  <c r="K474" i="3"/>
  <c r="J474" i="3"/>
  <c r="I474" i="3"/>
  <c r="K233" i="3"/>
  <c r="J233" i="3"/>
  <c r="I233" i="3"/>
  <c r="I747" i="3"/>
  <c r="H747" i="3"/>
  <c r="K747" i="3" s="1"/>
  <c r="I207" i="3"/>
  <c r="H207" i="3"/>
  <c r="K207" i="3" s="1"/>
  <c r="I142" i="3"/>
  <c r="H142" i="3"/>
  <c r="I116" i="3"/>
  <c r="H116" i="3"/>
  <c r="K116" i="3" s="1"/>
  <c r="I712" i="3"/>
  <c r="H712" i="3"/>
  <c r="J712" i="3" s="1"/>
  <c r="I115" i="3"/>
  <c r="H115" i="3"/>
  <c r="K115" i="3" s="1"/>
  <c r="I173" i="3"/>
  <c r="H173" i="3"/>
  <c r="I473" i="3"/>
  <c r="H473" i="3"/>
  <c r="K473" i="3" s="1"/>
  <c r="I321" i="3"/>
  <c r="H321" i="3"/>
  <c r="J321" i="3" s="1"/>
  <c r="I411" i="3"/>
  <c r="H411" i="3"/>
  <c r="K411" i="3" s="1"/>
  <c r="I141" i="3"/>
  <c r="H141" i="3"/>
  <c r="K383" i="3"/>
  <c r="J383" i="3"/>
  <c r="I383" i="3"/>
  <c r="I232" i="3"/>
  <c r="H232" i="3"/>
  <c r="K472" i="3"/>
  <c r="J472" i="3"/>
  <c r="I472" i="3"/>
  <c r="I320" i="3"/>
  <c r="H320" i="3"/>
  <c r="I471" i="3"/>
  <c r="H471" i="3"/>
  <c r="J471" i="3" s="1"/>
  <c r="K293" i="3"/>
  <c r="J293" i="3"/>
  <c r="I293" i="3"/>
  <c r="I619" i="3"/>
  <c r="H619" i="3"/>
  <c r="I114" i="3"/>
  <c r="H114" i="3"/>
  <c r="J114" i="3" s="1"/>
  <c r="I654" i="3"/>
  <c r="H654" i="3"/>
  <c r="K654" i="3" s="1"/>
  <c r="I595" i="3"/>
  <c r="H595" i="3"/>
  <c r="K595" i="3" s="1"/>
  <c r="I52" i="3"/>
  <c r="H52" i="3"/>
  <c r="I746" i="3"/>
  <c r="H746" i="3"/>
  <c r="J746" i="3" s="1"/>
  <c r="I618" i="3"/>
  <c r="H618" i="3"/>
  <c r="K618" i="3" s="1"/>
  <c r="K172" i="3"/>
  <c r="J172" i="3"/>
  <c r="I172" i="3"/>
  <c r="K113" i="3"/>
  <c r="J113" i="3"/>
  <c r="I113" i="3"/>
  <c r="I679" i="3"/>
  <c r="H679" i="3"/>
  <c r="K679" i="3" s="1"/>
  <c r="K382" i="3"/>
  <c r="J382" i="3"/>
  <c r="I382" i="3"/>
  <c r="K410" i="3"/>
  <c r="J410" i="3"/>
  <c r="I410" i="3"/>
  <c r="I258" i="3"/>
  <c r="H258" i="3"/>
  <c r="K258" i="3" s="1"/>
  <c r="K22" i="3"/>
  <c r="J22" i="3"/>
  <c r="I22" i="3"/>
  <c r="I356" i="3"/>
  <c r="H356" i="3"/>
  <c r="I711" i="3"/>
  <c r="H711" i="3"/>
  <c r="K711" i="3" s="1"/>
  <c r="K617" i="3"/>
  <c r="J617" i="3"/>
  <c r="I617" i="3"/>
  <c r="I78" i="3"/>
  <c r="H78" i="3"/>
  <c r="I21" i="3"/>
  <c r="H21" i="3"/>
  <c r="J21" i="3" s="1"/>
  <c r="I506" i="3"/>
  <c r="H506" i="3"/>
  <c r="K506" i="3" s="1"/>
  <c r="K529" i="3"/>
  <c r="J529" i="3"/>
  <c r="I529" i="3"/>
  <c r="I442" i="3"/>
  <c r="H442" i="3"/>
  <c r="K442" i="3" s="1"/>
  <c r="I231" i="3"/>
  <c r="H231" i="3"/>
  <c r="J231" i="3" s="1"/>
  <c r="I710" i="3"/>
  <c r="H710" i="3"/>
  <c r="K710" i="3" s="1"/>
  <c r="I381" i="3"/>
  <c r="H381" i="3"/>
  <c r="K292" i="3"/>
  <c r="J292" i="3"/>
  <c r="I292" i="3"/>
  <c r="I140" i="3"/>
  <c r="H140" i="3"/>
  <c r="K140" i="3" s="1"/>
  <c r="I51" i="3"/>
  <c r="H51" i="3"/>
  <c r="K51" i="3" s="1"/>
  <c r="K230" i="3"/>
  <c r="J230" i="3"/>
  <c r="I230" i="3"/>
  <c r="I50" i="3"/>
  <c r="H50" i="3"/>
  <c r="J50" i="3" s="1"/>
  <c r="I709" i="3"/>
  <c r="H709" i="3"/>
  <c r="K709" i="3" s="1"/>
  <c r="I409" i="3"/>
  <c r="H409" i="3"/>
  <c r="I77" i="3"/>
  <c r="H77" i="3"/>
  <c r="K77" i="3" s="1"/>
  <c r="I76" i="3"/>
  <c r="H76" i="3"/>
  <c r="K76" i="3" s="1"/>
  <c r="I594" i="3"/>
  <c r="H594" i="3"/>
  <c r="K594" i="3" s="1"/>
  <c r="I49" i="3"/>
  <c r="H49" i="3"/>
  <c r="I745" i="3"/>
  <c r="H745" i="3"/>
  <c r="K745" i="3" s="1"/>
  <c r="I408" i="3"/>
  <c r="H408" i="3"/>
  <c r="K408" i="3" s="1"/>
  <c r="I112" i="3"/>
  <c r="H112" i="3"/>
  <c r="K112" i="3" s="1"/>
  <c r="I75" i="3"/>
  <c r="H75" i="3"/>
  <c r="K111" i="3"/>
  <c r="J111" i="3"/>
  <c r="I111" i="3"/>
  <c r="I470" i="3"/>
  <c r="H470" i="3"/>
  <c r="J470" i="3" s="1"/>
  <c r="I593" i="3"/>
  <c r="H593" i="3"/>
  <c r="K593" i="3" s="1"/>
  <c r="I206" i="3"/>
  <c r="H206" i="3"/>
  <c r="J206" i="3" s="1"/>
  <c r="I355" i="3"/>
  <c r="H355" i="3"/>
  <c r="J355" i="3" s="1"/>
  <c r="I566" i="3"/>
  <c r="H566" i="3"/>
  <c r="K566" i="3" s="1"/>
  <c r="I354" i="3"/>
  <c r="H354" i="3"/>
  <c r="K48" i="3"/>
  <c r="J48" i="3"/>
  <c r="I48" i="3"/>
  <c r="I20" i="3"/>
  <c r="H20" i="3"/>
  <c r="K20" i="3" s="1"/>
  <c r="I319" i="3"/>
  <c r="H319" i="3"/>
  <c r="K139" i="3"/>
  <c r="J139" i="3"/>
  <c r="I139" i="3"/>
  <c r="K565" i="3"/>
  <c r="J565" i="3"/>
  <c r="I565" i="3"/>
  <c r="I47" i="3"/>
  <c r="H47" i="3"/>
  <c r="K47" i="3" s="1"/>
  <c r="I678" i="3"/>
  <c r="H678" i="3"/>
  <c r="I46" i="3"/>
  <c r="H46" i="3"/>
  <c r="K46" i="3" s="1"/>
  <c r="I505" i="3"/>
  <c r="H505" i="3"/>
  <c r="I592" i="3"/>
  <c r="H592" i="3"/>
  <c r="K592" i="3" s="1"/>
  <c r="K229" i="3"/>
  <c r="J229" i="3"/>
  <c r="I229" i="3"/>
  <c r="I407" i="3"/>
  <c r="H407" i="3"/>
  <c r="J407" i="3" s="1"/>
  <c r="I653" i="3"/>
  <c r="H653" i="3"/>
  <c r="J653" i="3" s="1"/>
  <c r="I616" i="3"/>
  <c r="H616" i="3"/>
  <c r="I708" i="3"/>
  <c r="H708" i="3"/>
  <c r="K708" i="3" s="1"/>
  <c r="I441" i="3"/>
  <c r="H441" i="3"/>
  <c r="I469" i="3"/>
  <c r="H469" i="3"/>
  <c r="K469" i="3" s="1"/>
  <c r="K171" i="3"/>
  <c r="J171" i="3"/>
  <c r="I171" i="3"/>
  <c r="I504" i="3"/>
  <c r="H504" i="3"/>
  <c r="J504" i="3" s="1"/>
  <c r="K19" i="3"/>
  <c r="J19" i="3"/>
  <c r="I19" i="3"/>
  <c r="I503" i="3"/>
  <c r="H503" i="3"/>
  <c r="K503" i="3" s="1"/>
  <c r="I502" i="3"/>
  <c r="H502" i="3"/>
  <c r="I591" i="3"/>
  <c r="H591" i="3"/>
  <c r="I744" i="3"/>
  <c r="H744" i="3"/>
  <c r="K744" i="3" s="1"/>
  <c r="I228" i="3"/>
  <c r="H228" i="3"/>
  <c r="K440" i="3"/>
  <c r="J440" i="3"/>
  <c r="I440" i="3"/>
  <c r="K380" i="3"/>
  <c r="J380" i="3"/>
  <c r="I380" i="3"/>
  <c r="K205" i="3"/>
  <c r="J205" i="3"/>
  <c r="I205" i="3"/>
  <c r="K743" i="3"/>
  <c r="J743" i="3"/>
  <c r="I743" i="3"/>
  <c r="I590" i="3"/>
  <c r="H590" i="3"/>
  <c r="K590" i="3" s="1"/>
  <c r="I204" i="3"/>
  <c r="H204" i="3"/>
  <c r="I353" i="3"/>
  <c r="H353" i="3"/>
  <c r="I291" i="3"/>
  <c r="H291" i="3"/>
  <c r="K203" i="3"/>
  <c r="J203" i="3"/>
  <c r="I203" i="3"/>
  <c r="K110" i="3"/>
  <c r="J110" i="3"/>
  <c r="I110" i="3"/>
  <c r="I615" i="3"/>
  <c r="H615" i="3"/>
  <c r="K677" i="3"/>
  <c r="J677" i="3"/>
  <c r="I677" i="3"/>
  <c r="K614" i="3"/>
  <c r="J614" i="3"/>
  <c r="I614" i="3"/>
  <c r="I109" i="3"/>
  <c r="H109" i="3"/>
  <c r="I742" i="3"/>
  <c r="H742" i="3"/>
  <c r="J742" i="3" s="1"/>
  <c r="K589" i="3"/>
  <c r="J589" i="3"/>
  <c r="I589" i="3"/>
  <c r="I707" i="3"/>
  <c r="H707" i="3"/>
  <c r="K707" i="3" s="1"/>
  <c r="I528" i="3"/>
  <c r="H528" i="3"/>
  <c r="I138" i="3"/>
  <c r="H138" i="3"/>
  <c r="K138" i="3" s="1"/>
  <c r="K352" i="3"/>
  <c r="J352" i="3"/>
  <c r="I352" i="3"/>
  <c r="I527" i="3"/>
  <c r="H527" i="3"/>
  <c r="K257" i="3"/>
  <c r="J257" i="3"/>
  <c r="I257" i="3"/>
  <c r="K588" i="3"/>
  <c r="J588" i="3"/>
  <c r="I588" i="3"/>
  <c r="I501" i="3"/>
  <c r="H501" i="3"/>
  <c r="K500" i="3"/>
  <c r="J500" i="3"/>
  <c r="I500" i="3"/>
  <c r="K564" i="3"/>
  <c r="J564" i="3"/>
  <c r="I564" i="3"/>
  <c r="I439" i="3"/>
  <c r="H439" i="3"/>
  <c r="I202" i="3"/>
  <c r="H202" i="3"/>
  <c r="K202" i="3" s="1"/>
  <c r="I741" i="3"/>
  <c r="H741" i="3"/>
  <c r="I227" i="3"/>
  <c r="H227" i="3"/>
  <c r="K227" i="3" s="1"/>
  <c r="I587" i="3"/>
  <c r="H587" i="3"/>
  <c r="K613" i="3"/>
  <c r="J613" i="3"/>
  <c r="I613" i="3"/>
  <c r="I406" i="3"/>
  <c r="H406" i="3"/>
  <c r="J406" i="3" s="1"/>
  <c r="K706" i="3"/>
  <c r="J706" i="3"/>
  <c r="I706" i="3"/>
  <c r="I499" i="3"/>
  <c r="H499" i="3"/>
  <c r="K499" i="3" s="1"/>
  <c r="I612" i="3"/>
  <c r="H612" i="3"/>
  <c r="J612" i="3" s="1"/>
  <c r="I586" i="3"/>
  <c r="H586" i="3"/>
  <c r="J586" i="3" s="1"/>
  <c r="I498" i="3"/>
  <c r="H498" i="3"/>
  <c r="I652" i="3"/>
  <c r="H652" i="3"/>
  <c r="K652" i="3" s="1"/>
  <c r="I438" i="3"/>
  <c r="H438" i="3"/>
  <c r="J438" i="3" s="1"/>
  <c r="I705" i="3"/>
  <c r="H705" i="3"/>
  <c r="I379" i="3"/>
  <c r="H379" i="3"/>
  <c r="I611" i="3"/>
  <c r="H611" i="3"/>
  <c r="K611" i="3" s="1"/>
  <c r="I497" i="3"/>
  <c r="H497" i="3"/>
  <c r="J497" i="3" s="1"/>
  <c r="I405" i="3"/>
  <c r="H405" i="3"/>
  <c r="J405" i="3" s="1"/>
  <c r="I585" i="3"/>
  <c r="H585" i="3"/>
  <c r="I740" i="3"/>
  <c r="H740" i="3"/>
  <c r="J740" i="3" s="1"/>
  <c r="I610" i="3"/>
  <c r="H610" i="3"/>
  <c r="J610" i="3" s="1"/>
  <c r="K256" i="3"/>
  <c r="J256" i="3"/>
  <c r="I256" i="3"/>
  <c r="I170" i="3"/>
  <c r="H170" i="3"/>
  <c r="J170" i="3" s="1"/>
  <c r="I201" i="3"/>
  <c r="H201" i="3"/>
  <c r="K201" i="3" s="1"/>
  <c r="I137" i="3"/>
  <c r="H137" i="3"/>
  <c r="J137" i="3" s="1"/>
  <c r="K651" i="3"/>
  <c r="J651" i="3"/>
  <c r="I651" i="3"/>
  <c r="K18" i="3"/>
  <c r="J18" i="3"/>
  <c r="I18" i="3"/>
  <c r="I169" i="3"/>
  <c r="H169" i="3"/>
  <c r="J169" i="3" s="1"/>
  <c r="I318" i="3"/>
  <c r="H318" i="3"/>
  <c r="I108" i="3"/>
  <c r="H108" i="3"/>
  <c r="K437" i="3"/>
  <c r="J437" i="3"/>
  <c r="I437" i="3"/>
  <c r="I404" i="3"/>
  <c r="H404" i="3"/>
  <c r="K404" i="3" s="1"/>
  <c r="I17" i="3"/>
  <c r="H17" i="3"/>
  <c r="J17" i="3" s="1"/>
  <c r="I255" i="3"/>
  <c r="H255" i="3"/>
  <c r="J255" i="3" s="1"/>
  <c r="K650" i="3"/>
  <c r="J650" i="3"/>
  <c r="I650" i="3"/>
  <c r="I563" i="3"/>
  <c r="H563" i="3"/>
  <c r="I290" i="3"/>
  <c r="H290" i="3"/>
  <c r="K290" i="3" s="1"/>
  <c r="I107" i="3"/>
  <c r="H107" i="3"/>
  <c r="K107" i="3" s="1"/>
  <c r="I74" i="3"/>
  <c r="H74" i="3"/>
  <c r="K74" i="3" s="1"/>
  <c r="I45" i="3"/>
  <c r="H45" i="3"/>
  <c r="K45" i="3" s="1"/>
  <c r="K351" i="3"/>
  <c r="J351" i="3"/>
  <c r="I351" i="3"/>
  <c r="I676" i="3"/>
  <c r="H676" i="3"/>
  <c r="J676" i="3" s="1"/>
  <c r="K562" i="3"/>
  <c r="J562" i="3"/>
  <c r="I562" i="3"/>
  <c r="I289" i="3"/>
  <c r="H289" i="3"/>
  <c r="J289" i="3" s="1"/>
  <c r="I16" i="3"/>
  <c r="H16" i="3"/>
  <c r="K16" i="3" s="1"/>
  <c r="I378" i="3"/>
  <c r="H378" i="3"/>
  <c r="I288" i="3"/>
  <c r="H288" i="3"/>
  <c r="K288" i="3" s="1"/>
  <c r="K403" i="3"/>
  <c r="J403" i="3"/>
  <c r="I403" i="3"/>
  <c r="I436" i="3"/>
  <c r="H436" i="3"/>
  <c r="I675" i="3"/>
  <c r="H675" i="3"/>
  <c r="K675" i="3" s="1"/>
  <c r="I106" i="3"/>
  <c r="H106" i="3"/>
  <c r="I136" i="3"/>
  <c r="H136" i="3"/>
  <c r="K136" i="3" s="1"/>
  <c r="I317" i="3"/>
  <c r="H317" i="3"/>
  <c r="J317" i="3" s="1"/>
  <c r="I168" i="3"/>
  <c r="H168" i="3"/>
  <c r="K168" i="3" s="1"/>
  <c r="I350" i="3"/>
  <c r="H350" i="3"/>
  <c r="I377" i="3"/>
  <c r="H377" i="3"/>
  <c r="K377" i="3" s="1"/>
  <c r="I739" i="3"/>
  <c r="H739" i="3"/>
  <c r="J739" i="3" s="1"/>
  <c r="I287" i="3"/>
  <c r="H287" i="3"/>
  <c r="J287" i="3" s="1"/>
  <c r="I286" i="3"/>
  <c r="H286" i="3"/>
  <c r="K738" i="3"/>
  <c r="J738" i="3"/>
  <c r="I738" i="3"/>
  <c r="I674" i="3"/>
  <c r="H674" i="3"/>
  <c r="K674" i="3" s="1"/>
  <c r="K105" i="3"/>
  <c r="J105" i="3"/>
  <c r="I105" i="3"/>
  <c r="I254" i="3"/>
  <c r="H254" i="3"/>
  <c r="J254" i="3" s="1"/>
  <c r="K609" i="3"/>
  <c r="J609" i="3"/>
  <c r="I609" i="3"/>
  <c r="I167" i="3"/>
  <c r="H167" i="3"/>
  <c r="K167" i="3" s="1"/>
  <c r="I496" i="3"/>
  <c r="H496" i="3"/>
  <c r="K496" i="3" s="1"/>
  <c r="I584" i="3"/>
  <c r="H584" i="3"/>
  <c r="K584" i="3" s="1"/>
  <c r="I15" i="3"/>
  <c r="H15" i="3"/>
  <c r="I44" i="3"/>
  <c r="H44" i="3"/>
  <c r="K44" i="3" s="1"/>
  <c r="I673" i="3"/>
  <c r="H673" i="3"/>
  <c r="J673" i="3" s="1"/>
  <c r="K376" i="3"/>
  <c r="J376" i="3"/>
  <c r="I376" i="3"/>
  <c r="I14" i="3"/>
  <c r="H14" i="3"/>
  <c r="J14" i="3" s="1"/>
  <c r="I495" i="3"/>
  <c r="H495" i="3"/>
  <c r="I704" i="3"/>
  <c r="H704" i="3"/>
  <c r="K704" i="3" s="1"/>
  <c r="I13" i="3"/>
  <c r="H13" i="3"/>
  <c r="K468" i="3"/>
  <c r="J468" i="3"/>
  <c r="I468" i="3"/>
  <c r="I104" i="3"/>
  <c r="H104" i="3"/>
  <c r="J104" i="3" s="1"/>
  <c r="I737" i="3"/>
  <c r="H737" i="3"/>
  <c r="K737" i="3" s="1"/>
  <c r="K166" i="3"/>
  <c r="J166" i="3"/>
  <c r="I166" i="3"/>
  <c r="I608" i="3"/>
  <c r="H608" i="3"/>
  <c r="K165" i="3"/>
  <c r="J165" i="3"/>
  <c r="I165" i="3"/>
  <c r="I672" i="3"/>
  <c r="H672" i="3"/>
  <c r="J672" i="3" s="1"/>
  <c r="I736" i="3"/>
  <c r="H736" i="3"/>
  <c r="K736" i="3" s="1"/>
  <c r="I73" i="3"/>
  <c r="H73" i="3"/>
  <c r="K467" i="3"/>
  <c r="J467" i="3"/>
  <c r="I467" i="3"/>
  <c r="I583" i="3"/>
  <c r="H583" i="3"/>
  <c r="I649" i="3"/>
  <c r="H649" i="3"/>
  <c r="I349" i="3"/>
  <c r="H349" i="3"/>
  <c r="J349" i="3" s="1"/>
  <c r="K200" i="3"/>
  <c r="J200" i="3"/>
  <c r="I200" i="3"/>
  <c r="I43" i="3"/>
  <c r="H43" i="3"/>
  <c r="K43" i="3" s="1"/>
  <c r="I199" i="3"/>
  <c r="H199" i="3"/>
  <c r="J199" i="3" s="1"/>
  <c r="I561" i="3"/>
  <c r="H561" i="3"/>
  <c r="K561" i="3" s="1"/>
  <c r="I316" i="3"/>
  <c r="H316" i="3"/>
  <c r="I648" i="3"/>
  <c r="H648" i="3"/>
  <c r="K648" i="3" s="1"/>
  <c r="I560" i="3"/>
  <c r="H560" i="3"/>
  <c r="J560" i="3" s="1"/>
  <c r="I526" i="3"/>
  <c r="H526" i="3"/>
  <c r="I226" i="3"/>
  <c r="H226" i="3"/>
  <c r="J226" i="3" s="1"/>
  <c r="I253" i="3"/>
  <c r="H253" i="3"/>
  <c r="K253" i="3" s="1"/>
  <c r="I375" i="3"/>
  <c r="H375" i="3"/>
  <c r="J375" i="3" s="1"/>
  <c r="I348" i="3"/>
  <c r="H348" i="3"/>
  <c r="K348" i="3" s="1"/>
  <c r="I285" i="3"/>
  <c r="H285" i="3"/>
  <c r="J285" i="3" s="1"/>
  <c r="I198" i="3"/>
  <c r="H198" i="3"/>
  <c r="K198" i="3" s="1"/>
  <c r="I103" i="3"/>
  <c r="H103" i="3"/>
  <c r="I315" i="3"/>
  <c r="H315" i="3"/>
  <c r="I347" i="3"/>
  <c r="H347" i="3"/>
  <c r="J347" i="3" s="1"/>
  <c r="I402" i="3"/>
  <c r="H402" i="3"/>
  <c r="K402" i="3" s="1"/>
  <c r="I164" i="3"/>
  <c r="H164" i="3"/>
  <c r="J164" i="3" s="1"/>
  <c r="I163" i="3"/>
  <c r="H163" i="3"/>
  <c r="I525" i="3"/>
  <c r="H525" i="3"/>
  <c r="I162" i="3"/>
  <c r="H162" i="3"/>
  <c r="K162" i="3" s="1"/>
  <c r="I346" i="3"/>
  <c r="H346" i="3"/>
  <c r="J346" i="3" s="1"/>
  <c r="I435" i="3"/>
  <c r="H435" i="3"/>
  <c r="K435" i="3" s="1"/>
  <c r="I647" i="3"/>
  <c r="H647" i="3"/>
  <c r="J647" i="3" s="1"/>
  <c r="I345" i="3"/>
  <c r="H345" i="3"/>
  <c r="K345" i="3" s="1"/>
  <c r="I12" i="3"/>
  <c r="H12" i="3"/>
  <c r="J12" i="3" s="1"/>
  <c r="I314" i="3"/>
  <c r="H314" i="3"/>
  <c r="K314" i="3" s="1"/>
  <c r="I646" i="3"/>
  <c r="H646" i="3"/>
  <c r="J646" i="3" s="1"/>
  <c r="K401" i="3"/>
  <c r="J401" i="3"/>
  <c r="I401" i="3"/>
  <c r="I313" i="3"/>
  <c r="H313" i="3"/>
  <c r="J313" i="3" s="1"/>
  <c r="I671" i="3"/>
  <c r="H671" i="3"/>
  <c r="I559" i="3"/>
  <c r="H559" i="3"/>
  <c r="K559" i="3" s="1"/>
  <c r="I645" i="3"/>
  <c r="H645" i="3"/>
  <c r="I42" i="3"/>
  <c r="H42" i="3"/>
  <c r="J42" i="3" s="1"/>
  <c r="I558" i="3"/>
  <c r="H558" i="3"/>
  <c r="I400" i="3"/>
  <c r="H400" i="3"/>
  <c r="K400" i="3" s="1"/>
  <c r="I703" i="3"/>
  <c r="H703" i="3"/>
  <c r="I644" i="3"/>
  <c r="H644" i="3"/>
  <c r="K644" i="3" s="1"/>
  <c r="I161" i="3"/>
  <c r="H161" i="3"/>
  <c r="I466" i="3"/>
  <c r="H466" i="3"/>
  <c r="K466" i="3" s="1"/>
  <c r="I11" i="3"/>
  <c r="H11" i="3"/>
  <c r="I735" i="3"/>
  <c r="H735" i="3"/>
  <c r="K735" i="3" s="1"/>
  <c r="I102" i="3"/>
  <c r="H102" i="3"/>
  <c r="K607" i="3"/>
  <c r="J607" i="3"/>
  <c r="I607" i="3"/>
  <c r="I41" i="3"/>
  <c r="H41" i="3"/>
  <c r="J41" i="3" s="1"/>
  <c r="I670" i="3"/>
  <c r="H670" i="3"/>
  <c r="K670" i="3" s="1"/>
  <c r="I135" i="3"/>
  <c r="H135" i="3"/>
  <c r="J135" i="3" s="1"/>
  <c r="I284" i="3"/>
  <c r="H284" i="3"/>
  <c r="K284" i="3" s="1"/>
  <c r="K197" i="3"/>
  <c r="J197" i="3"/>
  <c r="I197" i="3"/>
  <c r="I225" i="3"/>
  <c r="H225" i="3"/>
  <c r="I399" i="3"/>
  <c r="H399" i="3"/>
  <c r="J399" i="3" s="1"/>
  <c r="K283" i="3"/>
  <c r="J283" i="3"/>
  <c r="I283" i="3"/>
  <c r="I224" i="3"/>
  <c r="H224" i="3"/>
  <c r="K224" i="3" s="1"/>
  <c r="I557" i="3"/>
  <c r="H557" i="3"/>
  <c r="J557" i="3" s="1"/>
  <c r="I374" i="3"/>
  <c r="H374" i="3"/>
  <c r="K374" i="3" s="1"/>
  <c r="I494" i="3"/>
  <c r="H494" i="3"/>
  <c r="J494" i="3" s="1"/>
  <c r="I196" i="3"/>
  <c r="H196" i="3"/>
  <c r="J196" i="3" s="1"/>
  <c r="I582" i="3"/>
  <c r="H582" i="3"/>
  <c r="J582" i="3" s="1"/>
  <c r="I252" i="3"/>
  <c r="H252" i="3"/>
  <c r="K252" i="3" s="1"/>
  <c r="I734" i="3"/>
  <c r="H734" i="3"/>
  <c r="J734" i="3" s="1"/>
  <c r="I465" i="3"/>
  <c r="H465" i="3"/>
  <c r="K465" i="3" s="1"/>
  <c r="I10" i="3"/>
  <c r="H10" i="3"/>
  <c r="J10" i="3" s="1"/>
  <c r="I195" i="3"/>
  <c r="H195" i="3"/>
  <c r="K195" i="3" s="1"/>
  <c r="I223" i="3"/>
  <c r="H223" i="3"/>
  <c r="I702" i="3"/>
  <c r="H702" i="3"/>
  <c r="J702" i="3" s="1"/>
  <c r="I373" i="3"/>
  <c r="H373" i="3"/>
  <c r="J373" i="3" s="1"/>
  <c r="K282" i="3"/>
  <c r="J282" i="3"/>
  <c r="I282" i="3"/>
  <c r="I372" i="3"/>
  <c r="H372" i="3"/>
  <c r="K372" i="3" s="1"/>
  <c r="I344" i="3"/>
  <c r="H344" i="3"/>
  <c r="K344" i="3" s="1"/>
  <c r="K581" i="3"/>
  <c r="J581" i="3"/>
  <c r="I581" i="3"/>
  <c r="I9" i="3"/>
  <c r="H9" i="3"/>
  <c r="J9" i="3" s="1"/>
  <c r="I643" i="3"/>
  <c r="H643" i="3"/>
  <c r="K643" i="3" s="1"/>
  <c r="I72" i="3"/>
  <c r="H72" i="3"/>
  <c r="J72" i="3" s="1"/>
  <c r="I524" i="3"/>
  <c r="H524" i="3"/>
  <c r="K524" i="3" s="1"/>
  <c r="I669" i="3"/>
  <c r="H669" i="3"/>
  <c r="I343" i="3"/>
  <c r="H343" i="3"/>
  <c r="J343" i="3" s="1"/>
  <c r="I312" i="3"/>
  <c r="H312" i="3"/>
  <c r="J312" i="3" s="1"/>
  <c r="I194" i="3"/>
  <c r="H194" i="3"/>
  <c r="K194" i="3" s="1"/>
  <c r="I642" i="3"/>
  <c r="H642" i="3"/>
  <c r="J642" i="3" s="1"/>
  <c r="I434" i="3"/>
  <c r="H434" i="3"/>
  <c r="K434" i="3" s="1"/>
  <c r="I606" i="3"/>
  <c r="H606" i="3"/>
  <c r="J606" i="3" s="1"/>
  <c r="I8" i="3"/>
  <c r="H8" i="3"/>
  <c r="K8" i="3" s="1"/>
  <c r="K160" i="3"/>
  <c r="J160" i="3"/>
  <c r="I160" i="3"/>
  <c r="I311" i="3"/>
  <c r="H311" i="3"/>
  <c r="K311" i="3" s="1"/>
  <c r="I342" i="3"/>
  <c r="H342" i="3"/>
  <c r="K342" i="3" s="1"/>
  <c r="I371" i="3"/>
  <c r="H371" i="3"/>
  <c r="I370" i="3"/>
  <c r="H370" i="3"/>
  <c r="K370" i="3" s="1"/>
  <c r="I7" i="3"/>
  <c r="H7" i="3"/>
  <c r="K7" i="3" s="1"/>
  <c r="I101" i="3"/>
  <c r="H101" i="3"/>
  <c r="K101" i="3" s="1"/>
  <c r="I668" i="3"/>
  <c r="H668" i="3"/>
  <c r="K40" i="3"/>
  <c r="J40" i="3"/>
  <c r="I40" i="3"/>
  <c r="I71" i="3"/>
  <c r="H71" i="3"/>
  <c r="J71" i="3" s="1"/>
  <c r="I523" i="3"/>
  <c r="H523" i="3"/>
  <c r="K523" i="3" s="1"/>
  <c r="I733" i="3"/>
  <c r="H733" i="3"/>
  <c r="J733" i="3" s="1"/>
  <c r="I398" i="3"/>
  <c r="H398" i="3"/>
  <c r="J398" i="3" s="1"/>
  <c r="I464" i="3"/>
  <c r="H464" i="3"/>
  <c r="J464" i="3" s="1"/>
  <c r="I701" i="3"/>
  <c r="H701" i="3"/>
  <c r="K701" i="3" s="1"/>
  <c r="I493" i="3"/>
  <c r="H493" i="3"/>
  <c r="J493" i="3" s="1"/>
  <c r="I492" i="3"/>
  <c r="H492" i="3"/>
  <c r="K492" i="3" s="1"/>
  <c r="K100" i="3"/>
  <c r="J100" i="3"/>
  <c r="I100" i="3"/>
  <c r="I159" i="3"/>
  <c r="H159" i="3"/>
  <c r="J159" i="3" s="1"/>
  <c r="I134" i="3"/>
  <c r="H134" i="3"/>
  <c r="K134" i="3" s="1"/>
  <c r="I193" i="3"/>
  <c r="H193" i="3"/>
  <c r="K193" i="3" s="1"/>
  <c r="I397" i="3"/>
  <c r="H397" i="3"/>
  <c r="J397" i="3" s="1"/>
  <c r="K700" i="3"/>
  <c r="J700" i="3"/>
  <c r="I700" i="3"/>
  <c r="I281" i="3"/>
  <c r="H281" i="3"/>
  <c r="K281" i="3" s="1"/>
  <c r="I556" i="3"/>
  <c r="H556" i="3"/>
  <c r="J556" i="3" s="1"/>
  <c r="I433" i="3"/>
  <c r="H433" i="3"/>
  <c r="I70" i="3"/>
  <c r="H70" i="3"/>
  <c r="K70" i="3" s="1"/>
  <c r="I555" i="3"/>
  <c r="H555" i="3"/>
  <c r="K555" i="3" s="1"/>
  <c r="I641" i="3"/>
  <c r="H641" i="3"/>
  <c r="K641" i="3" s="1"/>
  <c r="I99" i="3"/>
  <c r="H99" i="3"/>
  <c r="K99" i="3" s="1"/>
  <c r="K133" i="3"/>
  <c r="J133" i="3"/>
  <c r="I133" i="3"/>
  <c r="I222" i="3"/>
  <c r="H222" i="3"/>
  <c r="K222" i="3" s="1"/>
  <c r="I432" i="3"/>
  <c r="H432" i="3"/>
  <c r="K432" i="3" s="1"/>
  <c r="I491" i="3"/>
  <c r="H491" i="3"/>
  <c r="K491" i="3" s="1"/>
  <c r="I431" i="3"/>
  <c r="H431" i="3"/>
  <c r="J431" i="3" s="1"/>
  <c r="I640" i="3"/>
  <c r="H640" i="3"/>
  <c r="K640" i="3" s="1"/>
  <c r="I732" i="3"/>
  <c r="H732" i="3"/>
  <c r="K732" i="3" s="1"/>
  <c r="I490" i="3"/>
  <c r="H490" i="3"/>
  <c r="K490" i="3" s="1"/>
  <c r="I6" i="3"/>
  <c r="H6" i="3"/>
  <c r="J6" i="3" s="1"/>
  <c r="I489" i="3"/>
  <c r="H489" i="3"/>
  <c r="K489" i="3" s="1"/>
  <c r="I192" i="3"/>
  <c r="H192" i="3"/>
  <c r="K192" i="3" s="1"/>
  <c r="K158" i="3"/>
  <c r="J158" i="3"/>
  <c r="I158" i="3"/>
  <c r="I488" i="3"/>
  <c r="H488" i="3"/>
  <c r="K488" i="3" s="1"/>
  <c r="I522" i="3"/>
  <c r="H522" i="3"/>
  <c r="I731" i="3"/>
  <c r="H731" i="3"/>
  <c r="K731" i="3" s="1"/>
  <c r="I310" i="3"/>
  <c r="H310" i="3"/>
  <c r="K310" i="3" s="1"/>
  <c r="I487" i="3"/>
  <c r="H487" i="3"/>
  <c r="K487" i="3" s="1"/>
  <c r="I221" i="3"/>
  <c r="H221" i="3"/>
  <c r="K251" i="3"/>
  <c r="J251" i="3"/>
  <c r="I251" i="3"/>
  <c r="I554" i="3"/>
  <c r="H554" i="3"/>
  <c r="J554" i="3" s="1"/>
  <c r="K730" i="3"/>
  <c r="J730" i="3"/>
  <c r="I730" i="3"/>
  <c r="K5" i="3"/>
  <c r="J5" i="3"/>
  <c r="I5" i="3"/>
  <c r="I191" i="3"/>
  <c r="H191" i="3"/>
  <c r="J191" i="3" s="1"/>
  <c r="I580" i="3"/>
  <c r="H580" i="3"/>
  <c r="K580" i="3" s="1"/>
  <c r="I699" i="3"/>
  <c r="H699" i="3"/>
  <c r="K699" i="3" s="1"/>
  <c r="I463" i="3"/>
  <c r="H463" i="3"/>
  <c r="K463" i="3" s="1"/>
  <c r="I698" i="3"/>
  <c r="H698" i="3"/>
  <c r="J698" i="3" s="1"/>
  <c r="K250" i="3"/>
  <c r="J250" i="3"/>
  <c r="I250" i="3"/>
  <c r="I190" i="3"/>
  <c r="H190" i="3"/>
  <c r="K190" i="3" s="1"/>
  <c r="K486" i="3"/>
  <c r="J486" i="3"/>
  <c r="I486" i="3"/>
  <c r="I220" i="3"/>
  <c r="H220" i="3"/>
  <c r="K220" i="3" s="1"/>
  <c r="I69" i="3"/>
  <c r="H69" i="3"/>
  <c r="K69" i="3" s="1"/>
  <c r="I521" i="3"/>
  <c r="H521" i="3"/>
  <c r="K521" i="3" s="1"/>
  <c r="K98" i="3"/>
  <c r="J98" i="3"/>
  <c r="I98" i="3"/>
  <c r="I462" i="3"/>
  <c r="H462" i="3"/>
  <c r="K97" i="3"/>
  <c r="J97" i="3"/>
  <c r="I97" i="3"/>
  <c r="K553" i="3"/>
  <c r="J553" i="3"/>
  <c r="I553" i="3"/>
  <c r="K520" i="3"/>
  <c r="J520" i="3"/>
  <c r="I520" i="3"/>
  <c r="I519" i="3"/>
  <c r="H519" i="3"/>
  <c r="K519" i="3" s="1"/>
  <c r="I369" i="3"/>
  <c r="H369" i="3"/>
  <c r="J369" i="3" s="1"/>
  <c r="I309" i="3"/>
  <c r="H309" i="3"/>
  <c r="J309" i="3" s="1"/>
  <c r="I639" i="3"/>
  <c r="H639" i="3"/>
  <c r="K639" i="3" s="1"/>
  <c r="I341" i="3"/>
  <c r="H341" i="3"/>
  <c r="K341" i="3" s="1"/>
  <c r="K579" i="3"/>
  <c r="J579" i="3"/>
  <c r="I579" i="3"/>
  <c r="I430" i="3"/>
  <c r="H430" i="3"/>
  <c r="I39" i="3"/>
  <c r="H39" i="3"/>
  <c r="K39" i="3" s="1"/>
  <c r="I68" i="3"/>
  <c r="H68" i="3"/>
  <c r="K68" i="3" s="1"/>
  <c r="I132" i="3"/>
  <c r="H132" i="3"/>
  <c r="K132" i="3" s="1"/>
  <c r="I368" i="3"/>
  <c r="H368" i="3"/>
  <c r="K461" i="3"/>
  <c r="J461" i="3"/>
  <c r="I461" i="3"/>
  <c r="K429" i="3"/>
  <c r="J429" i="3"/>
  <c r="I429" i="3"/>
  <c r="K367" i="3"/>
  <c r="J367" i="3"/>
  <c r="I367" i="3"/>
  <c r="I697" i="3"/>
  <c r="H697" i="3"/>
  <c r="K697" i="3" s="1"/>
  <c r="K729" i="3"/>
  <c r="J729" i="3"/>
  <c r="I729" i="3"/>
  <c r="I38" i="3"/>
  <c r="H38" i="3"/>
  <c r="I518" i="3"/>
  <c r="H518" i="3"/>
  <c r="K518" i="3" s="1"/>
  <c r="I485" i="3"/>
  <c r="H485" i="3"/>
  <c r="K485" i="3" s="1"/>
  <c r="K157" i="3"/>
  <c r="J157" i="3"/>
  <c r="I157" i="3"/>
  <c r="I728" i="3"/>
  <c r="H728" i="3"/>
  <c r="K728" i="3" s="1"/>
  <c r="I280" i="3"/>
  <c r="H280" i="3"/>
  <c r="J280" i="3" s="1"/>
  <c r="I131" i="3"/>
  <c r="H131" i="3"/>
  <c r="J131" i="3" s="1"/>
  <c r="I279" i="3"/>
  <c r="H279" i="3"/>
  <c r="J279" i="3" s="1"/>
  <c r="I189" i="3"/>
  <c r="H189" i="3"/>
  <c r="K189" i="3" s="1"/>
  <c r="I188" i="3"/>
  <c r="H188" i="3"/>
  <c r="K188" i="3" s="1"/>
  <c r="I340" i="3"/>
  <c r="H340" i="3"/>
  <c r="J340" i="3" s="1"/>
  <c r="K517" i="3"/>
  <c r="J517" i="3"/>
  <c r="I517" i="3"/>
  <c r="K339" i="3"/>
  <c r="J339" i="3"/>
  <c r="I339" i="3"/>
  <c r="K308" i="3"/>
  <c r="J308" i="3"/>
  <c r="I308" i="3"/>
  <c r="I130" i="3"/>
  <c r="H130" i="3"/>
  <c r="K130" i="3" s="1"/>
  <c r="I516" i="3"/>
  <c r="H516" i="3"/>
  <c r="I396" i="3"/>
  <c r="H396" i="3"/>
  <c r="K396" i="3" s="1"/>
  <c r="I187" i="3"/>
  <c r="H187" i="3"/>
  <c r="K187" i="3" s="1"/>
  <c r="K307" i="3"/>
  <c r="J307" i="3"/>
  <c r="I307" i="3"/>
  <c r="I667" i="3"/>
  <c r="H667" i="3"/>
  <c r="K667" i="3" s="1"/>
  <c r="I129" i="3"/>
  <c r="H129" i="3"/>
  <c r="J129" i="3" s="1"/>
  <c r="I156" i="3"/>
  <c r="H156" i="3"/>
  <c r="K156" i="3" s="1"/>
  <c r="I552" i="3"/>
  <c r="H552" i="3"/>
  <c r="I128" i="3"/>
  <c r="H128" i="3"/>
  <c r="K128" i="3" s="1"/>
  <c r="I278" i="3"/>
  <c r="H278" i="3"/>
  <c r="J278" i="3" s="1"/>
  <c r="I249" i="3"/>
  <c r="H249" i="3"/>
  <c r="J249" i="3" s="1"/>
  <c r="I37" i="3"/>
  <c r="H37" i="3"/>
  <c r="I338" i="3"/>
  <c r="H338" i="3"/>
  <c r="K338" i="3" s="1"/>
  <c r="I366" i="3"/>
  <c r="H366" i="3"/>
  <c r="J366" i="3" s="1"/>
  <c r="I306" i="3"/>
  <c r="H306" i="3"/>
  <c r="K306" i="3" s="1"/>
  <c r="K219" i="3"/>
  <c r="J219" i="3"/>
  <c r="I219" i="3"/>
  <c r="I551" i="3"/>
  <c r="H551" i="3"/>
  <c r="K551" i="3" s="1"/>
  <c r="I305" i="3"/>
  <c r="H305" i="3"/>
  <c r="K305" i="3" s="1"/>
  <c r="I696" i="3"/>
  <c r="H696" i="3"/>
  <c r="K696" i="3" s="1"/>
  <c r="K578" i="3"/>
  <c r="J578" i="3"/>
  <c r="I578" i="3"/>
  <c r="K127" i="3"/>
  <c r="J127" i="3"/>
  <c r="I127" i="3"/>
  <c r="I550" i="3"/>
  <c r="H550" i="3"/>
  <c r="K550" i="3" s="1"/>
  <c r="I218" i="3"/>
  <c r="H218" i="3"/>
  <c r="J218" i="3" s="1"/>
  <c r="I277" i="3"/>
  <c r="H277" i="3"/>
  <c r="K277" i="3" s="1"/>
  <c r="I186" i="3"/>
  <c r="H186" i="3"/>
  <c r="J186" i="3" s="1"/>
  <c r="I276" i="3"/>
  <c r="H276" i="3"/>
  <c r="K276" i="3" s="1"/>
  <c r="I638" i="3"/>
  <c r="H638" i="3"/>
  <c r="J638" i="3" s="1"/>
  <c r="I36" i="3"/>
  <c r="H36" i="3"/>
  <c r="K36" i="3" s="1"/>
  <c r="I484" i="3"/>
  <c r="H484" i="3"/>
  <c r="K484" i="3" s="1"/>
  <c r="I35" i="3"/>
  <c r="H35" i="3"/>
  <c r="K35" i="3" s="1"/>
  <c r="I460" i="3"/>
  <c r="H460" i="3"/>
  <c r="K460" i="3" s="1"/>
  <c r="I549" i="3"/>
  <c r="H549" i="3"/>
  <c r="K549" i="3" s="1"/>
  <c r="I34" i="3"/>
  <c r="H34" i="3"/>
  <c r="K34" i="3" s="1"/>
  <c r="K248" i="3"/>
  <c r="J248" i="3"/>
  <c r="I248" i="3"/>
  <c r="I217" i="3"/>
  <c r="H217" i="3"/>
  <c r="K217" i="3" s="1"/>
  <c r="I577" i="3"/>
  <c r="H577" i="3"/>
  <c r="J577" i="3" s="1"/>
  <c r="I515" i="3"/>
  <c r="H515" i="3"/>
  <c r="K515" i="3" s="1"/>
  <c r="I605" i="3"/>
  <c r="H605" i="3"/>
  <c r="K605" i="3" s="1"/>
  <c r="I459" i="3"/>
  <c r="H459" i="3"/>
  <c r="K459" i="3" s="1"/>
  <c r="I576" i="3"/>
  <c r="H576" i="3"/>
  <c r="J576" i="3" s="1"/>
  <c r="I337" i="3"/>
  <c r="H337" i="3"/>
  <c r="K337" i="3" s="1"/>
  <c r="I575" i="3"/>
  <c r="H575" i="3"/>
  <c r="K575" i="3" s="1"/>
  <c r="K666" i="3"/>
  <c r="J666" i="3"/>
  <c r="I666" i="3"/>
  <c r="I216" i="3"/>
  <c r="H216" i="3"/>
  <c r="K216" i="3" s="1"/>
  <c r="I548" i="3"/>
  <c r="H548" i="3"/>
  <c r="K548" i="3" s="1"/>
  <c r="I458" i="3"/>
  <c r="H458" i="3"/>
  <c r="K458" i="3" s="1"/>
  <c r="I96" i="3"/>
  <c r="H96" i="3"/>
  <c r="K96" i="3" s="1"/>
  <c r="I247" i="3"/>
  <c r="H247" i="3"/>
  <c r="K247" i="3" s="1"/>
  <c r="I185" i="3"/>
  <c r="H185" i="3"/>
  <c r="K185" i="3" s="1"/>
  <c r="I727" i="3"/>
  <c r="H727" i="3"/>
  <c r="K727" i="3" s="1"/>
  <c r="I637" i="3"/>
  <c r="H637" i="3"/>
  <c r="K637" i="3" s="1"/>
  <c r="I155" i="3"/>
  <c r="H155" i="3"/>
  <c r="K155" i="3" s="1"/>
  <c r="K604" i="3"/>
  <c r="J604" i="3"/>
  <c r="I604" i="3"/>
  <c r="I457" i="3"/>
  <c r="H457" i="3"/>
  <c r="J457" i="3" s="1"/>
  <c r="I574" i="3"/>
  <c r="H574" i="3"/>
  <c r="J574" i="3" s="1"/>
  <c r="K304" i="3"/>
  <c r="J304" i="3"/>
  <c r="I304" i="3"/>
  <c r="K665" i="3"/>
  <c r="J665" i="3"/>
  <c r="I665" i="3"/>
  <c r="I456" i="3"/>
  <c r="H456" i="3"/>
  <c r="J456" i="3" s="1"/>
  <c r="I455" i="3"/>
  <c r="H455" i="3"/>
  <c r="K455" i="3" s="1"/>
  <c r="I547" i="3"/>
  <c r="H547" i="3"/>
  <c r="K547" i="3" s="1"/>
  <c r="K4" i="3"/>
  <c r="J4" i="3"/>
  <c r="L4" i="3" s="1"/>
  <c r="I4" i="3"/>
  <c r="I573" i="3"/>
  <c r="H573" i="3"/>
  <c r="K573" i="3" s="1"/>
  <c r="I215" i="3"/>
  <c r="H215" i="3"/>
  <c r="K215" i="3" s="1"/>
  <c r="I184" i="3"/>
  <c r="H184" i="3"/>
  <c r="K184" i="3" s="1"/>
  <c r="I246" i="3"/>
  <c r="H246" i="3"/>
  <c r="K246" i="3" s="1"/>
  <c r="I454" i="3"/>
  <c r="H454" i="3"/>
  <c r="K454" i="3" s="1"/>
  <c r="I303" i="3"/>
  <c r="H303" i="3"/>
  <c r="K303" i="3" s="1"/>
  <c r="I365" i="3"/>
  <c r="H365" i="3"/>
  <c r="K365" i="3" s="1"/>
  <c r="K726" i="3"/>
  <c r="J726" i="3"/>
  <c r="I726" i="3"/>
  <c r="I546" i="3"/>
  <c r="H546" i="3"/>
  <c r="K546" i="3" s="1"/>
  <c r="I126" i="3"/>
  <c r="H126" i="3"/>
  <c r="K126" i="3" s="1"/>
  <c r="K67" i="3"/>
  <c r="J67" i="3"/>
  <c r="I67" i="3"/>
  <c r="I125" i="3"/>
  <c r="H125" i="3"/>
  <c r="K125" i="3" s="1"/>
  <c r="I3" i="3"/>
  <c r="H3" i="3"/>
  <c r="K3" i="3" s="1"/>
  <c r="I514" i="3"/>
  <c r="H514" i="3"/>
  <c r="K514" i="3" s="1"/>
  <c r="I124" i="3"/>
  <c r="H124" i="3"/>
  <c r="K124" i="3" s="1"/>
  <c r="I428" i="3"/>
  <c r="H428" i="3"/>
  <c r="K428" i="3" s="1"/>
  <c r="I395" i="3"/>
  <c r="H395" i="3"/>
  <c r="K395" i="3" s="1"/>
  <c r="I336" i="3"/>
  <c r="H336" i="3"/>
  <c r="K336" i="3" s="1"/>
  <c r="I695" i="3"/>
  <c r="H695" i="3"/>
  <c r="K695" i="3" s="1"/>
  <c r="K483" i="3"/>
  <c r="J483" i="3"/>
  <c r="I483" i="3"/>
  <c r="I183" i="3"/>
  <c r="H183" i="3"/>
  <c r="J183" i="3" s="1"/>
  <c r="K95" i="3"/>
  <c r="J95" i="3"/>
  <c r="I95" i="3"/>
  <c r="I694" i="3"/>
  <c r="H694" i="3"/>
  <c r="K694" i="3" s="1"/>
  <c r="K427" i="3"/>
  <c r="J427" i="3"/>
  <c r="I427" i="3"/>
  <c r="I636" i="3"/>
  <c r="H636" i="3"/>
  <c r="J636" i="3" s="1"/>
  <c r="I364" i="3"/>
  <c r="H364" i="3"/>
  <c r="K364" i="3" s="1"/>
  <c r="I123" i="3"/>
  <c r="H123" i="3"/>
  <c r="K123" i="3" s="1"/>
  <c r="K214" i="3"/>
  <c r="J214" i="3"/>
  <c r="I214" i="3"/>
  <c r="I245" i="3"/>
  <c r="H245" i="3"/>
  <c r="K245" i="3" s="1"/>
  <c r="I335" i="3"/>
  <c r="H335" i="3"/>
  <c r="K335" i="3" s="1"/>
  <c r="I725" i="3"/>
  <c r="H725" i="3"/>
  <c r="K725" i="3" s="1"/>
  <c r="I724" i="3"/>
  <c r="H724" i="3"/>
  <c r="K724" i="3" s="1"/>
  <c r="I334" i="3"/>
  <c r="H334" i="3"/>
  <c r="K334" i="3" s="1"/>
  <c r="I693" i="3"/>
  <c r="H693" i="3"/>
  <c r="K693" i="3" s="1"/>
  <c r="I154" i="3"/>
  <c r="H154" i="3"/>
  <c r="K154" i="3" s="1"/>
  <c r="I394" i="3"/>
  <c r="H394" i="3"/>
  <c r="K394" i="3" s="1"/>
  <c r="I635" i="3"/>
  <c r="H635" i="3"/>
  <c r="K635" i="3" s="1"/>
  <c r="I66" i="3"/>
  <c r="H66" i="3"/>
  <c r="K66" i="3" s="1"/>
  <c r="I65" i="3"/>
  <c r="H65" i="3"/>
  <c r="K65" i="3" s="1"/>
  <c r="I426" i="3"/>
  <c r="H426" i="3"/>
  <c r="K426" i="3" s="1"/>
  <c r="I664" i="3"/>
  <c r="H664" i="3"/>
  <c r="K664" i="3" s="1"/>
  <c r="I153" i="3"/>
  <c r="H153" i="3"/>
  <c r="K153" i="3" s="1"/>
  <c r="I425" i="3"/>
  <c r="H425" i="3"/>
  <c r="K425" i="3" s="1"/>
  <c r="I64" i="3"/>
  <c r="H64" i="3"/>
  <c r="K64" i="3" s="1"/>
  <c r="I545" i="3"/>
  <c r="H545" i="3"/>
  <c r="K545" i="3" s="1"/>
  <c r="I424" i="3"/>
  <c r="H424" i="3"/>
  <c r="K424" i="3" s="1"/>
  <c r="I634" i="3"/>
  <c r="H634" i="3"/>
  <c r="K634" i="3" s="1"/>
  <c r="K723" i="3"/>
  <c r="J723" i="3"/>
  <c r="I723" i="3"/>
  <c r="I63" i="3"/>
  <c r="H63" i="3"/>
  <c r="J63" i="3" s="1"/>
  <c r="I275" i="3"/>
  <c r="H275" i="3"/>
  <c r="K275" i="3" s="1"/>
  <c r="I544" i="3"/>
  <c r="H544" i="3"/>
  <c r="J544" i="3" s="1"/>
  <c r="I603" i="3"/>
  <c r="H603" i="3"/>
  <c r="J603" i="3" s="1"/>
  <c r="I244" i="3"/>
  <c r="H244" i="3"/>
  <c r="K244" i="3" s="1"/>
  <c r="I633" i="3"/>
  <c r="H633" i="3"/>
  <c r="K633" i="3" s="1"/>
  <c r="I363" i="3"/>
  <c r="H363" i="3"/>
  <c r="J363" i="3" s="1"/>
  <c r="I33" i="3"/>
  <c r="H33" i="3"/>
  <c r="J33" i="3" s="1"/>
  <c r="I423" i="3"/>
  <c r="H423" i="3"/>
  <c r="K423" i="3" s="1"/>
  <c r="I663" i="3"/>
  <c r="H663" i="3"/>
  <c r="K663" i="3" s="1"/>
  <c r="K513" i="3"/>
  <c r="J513" i="3"/>
  <c r="I513" i="3"/>
  <c r="K333" i="3"/>
  <c r="J333" i="3"/>
  <c r="I333" i="3"/>
  <c r="I213" i="3"/>
  <c r="H213" i="3"/>
  <c r="K213" i="3" s="1"/>
  <c r="I274" i="3"/>
  <c r="H274" i="3"/>
  <c r="J274" i="3" s="1"/>
  <c r="I243" i="3"/>
  <c r="H243" i="3"/>
  <c r="J243" i="3" s="1"/>
  <c r="I393" i="3"/>
  <c r="H393" i="3"/>
  <c r="K393" i="3" s="1"/>
  <c r="I453" i="3"/>
  <c r="H453" i="3"/>
  <c r="K453" i="3" s="1"/>
  <c r="I273" i="3"/>
  <c r="H273" i="3"/>
  <c r="J273" i="3" s="1"/>
  <c r="I543" i="3"/>
  <c r="H543" i="3"/>
  <c r="J543" i="3" s="1"/>
  <c r="I94" i="3"/>
  <c r="H94" i="3"/>
  <c r="K94" i="3" s="1"/>
  <c r="K93" i="3"/>
  <c r="J93" i="3"/>
  <c r="I93" i="3"/>
  <c r="K312" i="3" l="1"/>
  <c r="L312" i="3" s="1"/>
  <c r="L200" i="3"/>
  <c r="L339" i="3"/>
  <c r="M292" i="3"/>
  <c r="L283" i="3"/>
  <c r="M387" i="3"/>
  <c r="J555" i="3"/>
  <c r="L555" i="3" s="1"/>
  <c r="L272" i="3"/>
  <c r="M304" i="3"/>
  <c r="L210" i="3"/>
  <c r="M86" i="3"/>
  <c r="L589" i="3"/>
  <c r="M214" i="3"/>
  <c r="K673" i="3"/>
  <c r="L673" i="3" s="1"/>
  <c r="M567" i="3"/>
  <c r="J208" i="3"/>
  <c r="M208" i="3" s="1"/>
  <c r="J55" i="3"/>
  <c r="L55" i="3" s="1"/>
  <c r="J575" i="3"/>
  <c r="L575" i="3" s="1"/>
  <c r="L461" i="3"/>
  <c r="K343" i="3"/>
  <c r="L343" i="3" s="1"/>
  <c r="J201" i="3"/>
  <c r="M201" i="3" s="1"/>
  <c r="J126" i="3"/>
  <c r="M126" i="3" s="1"/>
  <c r="J667" i="3"/>
  <c r="L667" i="3" s="1"/>
  <c r="K159" i="3"/>
  <c r="M159" i="3" s="1"/>
  <c r="K285" i="3"/>
  <c r="M285" i="3" s="1"/>
  <c r="M237" i="3"/>
  <c r="J632" i="3"/>
  <c r="J644" i="3"/>
  <c r="L644" i="3" s="1"/>
  <c r="J423" i="3"/>
  <c r="M423" i="3" s="1"/>
  <c r="K287" i="3"/>
  <c r="M287" i="3" s="1"/>
  <c r="K321" i="3"/>
  <c r="L321" i="3" s="1"/>
  <c r="M714" i="3"/>
  <c r="L692" i="3"/>
  <c r="L93" i="3"/>
  <c r="K33" i="3"/>
  <c r="M33" i="3" s="1"/>
  <c r="M308" i="3"/>
  <c r="K346" i="3"/>
  <c r="J675" i="3"/>
  <c r="L675" i="3" s="1"/>
  <c r="M230" i="3"/>
  <c r="K530" i="3"/>
  <c r="L530" i="3" s="1"/>
  <c r="M18" i="3"/>
  <c r="M139" i="3"/>
  <c r="J90" i="3"/>
  <c r="L90" i="3" s="1"/>
  <c r="K280" i="3"/>
  <c r="M280" i="3" s="1"/>
  <c r="K191" i="3"/>
  <c r="J487" i="3"/>
  <c r="M487" i="3" s="1"/>
  <c r="J640" i="3"/>
  <c r="M640" i="3" s="1"/>
  <c r="J372" i="3"/>
  <c r="L372" i="3" s="1"/>
  <c r="K399" i="3"/>
  <c r="M399" i="3" s="1"/>
  <c r="J284" i="3"/>
  <c r="M284" i="3" s="1"/>
  <c r="K313" i="3"/>
  <c r="M313" i="3" s="1"/>
  <c r="M200" i="3"/>
  <c r="M357" i="3"/>
  <c r="J477" i="3"/>
  <c r="L477" i="3" s="1"/>
  <c r="J89" i="3"/>
  <c r="M89" i="3" s="1"/>
  <c r="J306" i="3"/>
  <c r="M306" i="3" s="1"/>
  <c r="J341" i="3"/>
  <c r="M341" i="3" s="1"/>
  <c r="K702" i="3"/>
  <c r="M702" i="3" s="1"/>
  <c r="L444" i="3"/>
  <c r="M26" i="3"/>
  <c r="K331" i="3"/>
  <c r="L331" i="3" s="1"/>
  <c r="J459" i="3"/>
  <c r="L459" i="3" s="1"/>
  <c r="J36" i="3"/>
  <c r="M36" i="3" s="1"/>
  <c r="M158" i="3"/>
  <c r="M401" i="3"/>
  <c r="L743" i="3"/>
  <c r="L263" i="3"/>
  <c r="J59" i="3"/>
  <c r="M59" i="3" s="1"/>
  <c r="J301" i="3"/>
  <c r="M301" i="3" s="1"/>
  <c r="M692" i="3"/>
  <c r="K375" i="3"/>
  <c r="L375" i="3" s="1"/>
  <c r="K50" i="3"/>
  <c r="M50" i="3" s="1"/>
  <c r="M513" i="3"/>
  <c r="J244" i="3"/>
  <c r="L244" i="3" s="1"/>
  <c r="L160" i="3"/>
  <c r="M283" i="3"/>
  <c r="K405" i="3"/>
  <c r="M405" i="3" s="1"/>
  <c r="K504" i="3"/>
  <c r="L504" i="3" s="1"/>
  <c r="L113" i="3"/>
  <c r="M625" i="3"/>
  <c r="J34" i="3"/>
  <c r="M34" i="3" s="1"/>
  <c r="M376" i="3"/>
  <c r="L86" i="3"/>
  <c r="K243" i="3"/>
  <c r="M243" i="3" s="1"/>
  <c r="J338" i="3"/>
  <c r="M338" i="3" s="1"/>
  <c r="L5" i="3"/>
  <c r="K556" i="3"/>
  <c r="L556" i="3" s="1"/>
  <c r="K397" i="3"/>
  <c r="L397" i="3" s="1"/>
  <c r="J465" i="3"/>
  <c r="M465" i="3" s="1"/>
  <c r="K560" i="3"/>
  <c r="L560" i="3" s="1"/>
  <c r="J561" i="3"/>
  <c r="M561" i="3" s="1"/>
  <c r="J736" i="3"/>
  <c r="K104" i="3"/>
  <c r="M104" i="3" s="1"/>
  <c r="J704" i="3"/>
  <c r="M704" i="3" s="1"/>
  <c r="L738" i="3"/>
  <c r="J202" i="3"/>
  <c r="L202" i="3" s="1"/>
  <c r="M171" i="3"/>
  <c r="J46" i="3"/>
  <c r="L46" i="3" s="1"/>
  <c r="M565" i="3"/>
  <c r="J76" i="3"/>
  <c r="L76" i="3" s="1"/>
  <c r="M210" i="3"/>
  <c r="J177" i="3"/>
  <c r="M177" i="3" s="1"/>
  <c r="J660" i="3"/>
  <c r="L660" i="3" s="1"/>
  <c r="J300" i="3"/>
  <c r="L300" i="3" s="1"/>
  <c r="L157" i="3"/>
  <c r="M282" i="3"/>
  <c r="M410" i="3"/>
  <c r="M324" i="3"/>
  <c r="J600" i="3"/>
  <c r="M600" i="3" s="1"/>
  <c r="K179" i="3"/>
  <c r="M179" i="3" s="1"/>
  <c r="K85" i="3"/>
  <c r="M85" i="3" s="1"/>
  <c r="K511" i="3"/>
  <c r="M511" i="3" s="1"/>
  <c r="K451" i="3"/>
  <c r="M451" i="3" s="1"/>
  <c r="J94" i="3"/>
  <c r="M94" i="3" s="1"/>
  <c r="M95" i="3"/>
  <c r="J277" i="3"/>
  <c r="M277" i="3" s="1"/>
  <c r="J580" i="3"/>
  <c r="M580" i="3" s="1"/>
  <c r="J491" i="3"/>
  <c r="M491" i="3" s="1"/>
  <c r="J342" i="3"/>
  <c r="M342" i="3" s="1"/>
  <c r="J345" i="3"/>
  <c r="M345" i="3" s="1"/>
  <c r="J648" i="3"/>
  <c r="L648" i="3" s="1"/>
  <c r="K676" i="3"/>
  <c r="M676" i="3" s="1"/>
  <c r="J652" i="3"/>
  <c r="L652" i="3" s="1"/>
  <c r="K406" i="3"/>
  <c r="L406" i="3" s="1"/>
  <c r="J227" i="3"/>
  <c r="J180" i="3"/>
  <c r="L180" i="3" s="1"/>
  <c r="J61" i="3"/>
  <c r="M61" i="3" s="1"/>
  <c r="K30" i="3"/>
  <c r="M30" i="3" s="1"/>
  <c r="J150" i="3"/>
  <c r="M150" i="3" s="1"/>
  <c r="K574" i="3"/>
  <c r="M574" i="3" s="1"/>
  <c r="J551" i="3"/>
  <c r="M551" i="3" s="1"/>
  <c r="J8" i="3"/>
  <c r="M8" i="3" s="1"/>
  <c r="J643" i="3"/>
  <c r="K135" i="3"/>
  <c r="L135" i="3" s="1"/>
  <c r="J466" i="3"/>
  <c r="M466" i="3" s="1"/>
  <c r="K42" i="3"/>
  <c r="M42" i="3" s="1"/>
  <c r="K646" i="3"/>
  <c r="M646" i="3" s="1"/>
  <c r="K164" i="3"/>
  <c r="L164" i="3" s="1"/>
  <c r="J348" i="3"/>
  <c r="L348" i="3" s="1"/>
  <c r="K349" i="3"/>
  <c r="M349" i="3" s="1"/>
  <c r="M650" i="3"/>
  <c r="J499" i="3"/>
  <c r="M499" i="3" s="1"/>
  <c r="K653" i="3"/>
  <c r="M653" i="3" s="1"/>
  <c r="L410" i="3"/>
  <c r="M596" i="3"/>
  <c r="K533" i="3"/>
  <c r="L533" i="3" s="1"/>
  <c r="J599" i="3"/>
  <c r="L599" i="3" s="1"/>
  <c r="M749" i="3"/>
  <c r="J750" i="3"/>
  <c r="L750" i="3" s="1"/>
  <c r="M427" i="3"/>
  <c r="K398" i="3"/>
  <c r="M398" i="3" s="1"/>
  <c r="M197" i="3"/>
  <c r="J162" i="3"/>
  <c r="L162" i="3" s="1"/>
  <c r="K289" i="3"/>
  <c r="M289" i="3" s="1"/>
  <c r="M351" i="3"/>
  <c r="J107" i="3"/>
  <c r="M107" i="3" s="1"/>
  <c r="M588" i="3"/>
  <c r="M352" i="3"/>
  <c r="M113" i="3"/>
  <c r="K746" i="3"/>
  <c r="M746" i="3" s="1"/>
  <c r="M383" i="3"/>
  <c r="M362" i="3"/>
  <c r="J393" i="3"/>
  <c r="M393" i="3" s="1"/>
  <c r="M93" i="3"/>
  <c r="K543" i="3"/>
  <c r="M543" i="3" s="1"/>
  <c r="K603" i="3"/>
  <c r="M603" i="3" s="1"/>
  <c r="K63" i="3"/>
  <c r="L63" i="3" s="1"/>
  <c r="J515" i="3"/>
  <c r="M515" i="3" s="1"/>
  <c r="J460" i="3"/>
  <c r="L460" i="3" s="1"/>
  <c r="K186" i="3"/>
  <c r="L186" i="3" s="1"/>
  <c r="J156" i="3"/>
  <c r="M156" i="3" s="1"/>
  <c r="K279" i="3"/>
  <c r="M279" i="3" s="1"/>
  <c r="J68" i="3"/>
  <c r="L68" i="3" s="1"/>
  <c r="K309" i="3"/>
  <c r="M309" i="3" s="1"/>
  <c r="K431" i="3"/>
  <c r="L431" i="3" s="1"/>
  <c r="J641" i="3"/>
  <c r="M641" i="3" s="1"/>
  <c r="J492" i="3"/>
  <c r="M492" i="3" s="1"/>
  <c r="K464" i="3"/>
  <c r="L464" i="3" s="1"/>
  <c r="J311" i="3"/>
  <c r="M311" i="3" s="1"/>
  <c r="K373" i="3"/>
  <c r="L373" i="3" s="1"/>
  <c r="K196" i="3"/>
  <c r="L196" i="3" s="1"/>
  <c r="L401" i="3"/>
  <c r="J198" i="3"/>
  <c r="M198" i="3" s="1"/>
  <c r="K14" i="3"/>
  <c r="M14" i="3" s="1"/>
  <c r="K255" i="3"/>
  <c r="L255" i="3" s="1"/>
  <c r="K137" i="3"/>
  <c r="M137" i="3" s="1"/>
  <c r="M743" i="3"/>
  <c r="K407" i="3"/>
  <c r="M407" i="3" s="1"/>
  <c r="K471" i="3"/>
  <c r="M471" i="3" s="1"/>
  <c r="J411" i="3"/>
  <c r="M411" i="3" s="1"/>
  <c r="K712" i="3"/>
  <c r="L712" i="3" s="1"/>
  <c r="J260" i="3"/>
  <c r="L260" i="3" s="1"/>
  <c r="K80" i="3"/>
  <c r="M80" i="3" s="1"/>
  <c r="K570" i="3"/>
  <c r="L570" i="3" s="1"/>
  <c r="K31" i="3"/>
  <c r="L31" i="3" s="1"/>
  <c r="L304" i="3"/>
  <c r="L105" i="3"/>
  <c r="L139" i="3"/>
  <c r="J595" i="3"/>
  <c r="L595" i="3" s="1"/>
  <c r="J748" i="3"/>
  <c r="L748" i="3" s="1"/>
  <c r="L56" i="3"/>
  <c r="K601" i="3"/>
  <c r="M601" i="3" s="1"/>
  <c r="K149" i="3"/>
  <c r="M149" i="3" s="1"/>
  <c r="J329" i="3"/>
  <c r="M329" i="3" s="1"/>
  <c r="J88" i="3"/>
  <c r="L88" i="3" s="1"/>
  <c r="J540" i="3"/>
  <c r="L540" i="3" s="1"/>
  <c r="J92" i="3"/>
  <c r="L92" i="3" s="1"/>
  <c r="M604" i="3"/>
  <c r="L127" i="3"/>
  <c r="M367" i="3"/>
  <c r="M486" i="3"/>
  <c r="M133" i="3"/>
  <c r="M160" i="3"/>
  <c r="K10" i="3"/>
  <c r="M10" i="3" s="1"/>
  <c r="K742" i="3"/>
  <c r="M742" i="3" s="1"/>
  <c r="M48" i="3"/>
  <c r="K355" i="3"/>
  <c r="L355" i="3" s="1"/>
  <c r="K470" i="3"/>
  <c r="M470" i="3" s="1"/>
  <c r="J442" i="3"/>
  <c r="J506" i="3"/>
  <c r="L383" i="3"/>
  <c r="K322" i="3"/>
  <c r="M322" i="3" s="1"/>
  <c r="M475" i="3"/>
  <c r="K262" i="3"/>
  <c r="M262" i="3" s="1"/>
  <c r="K27" i="3"/>
  <c r="M27" i="3" s="1"/>
  <c r="J389" i="3"/>
  <c r="L389" i="3" s="1"/>
  <c r="J447" i="3"/>
  <c r="L447" i="3" s="1"/>
  <c r="J658" i="3"/>
  <c r="M658" i="3" s="1"/>
  <c r="K539" i="3"/>
  <c r="M539" i="3" s="1"/>
  <c r="J419" i="3"/>
  <c r="M419" i="3" s="1"/>
  <c r="K631" i="3"/>
  <c r="L631" i="3" s="1"/>
  <c r="K151" i="3"/>
  <c r="M151" i="3" s="1"/>
  <c r="M609" i="3"/>
  <c r="J590" i="3"/>
  <c r="L590" i="3" s="1"/>
  <c r="M233" i="3"/>
  <c r="M79" i="3"/>
  <c r="J24" i="3"/>
  <c r="M24" i="3" s="1"/>
  <c r="K174" i="3"/>
  <c r="M174" i="3" s="1"/>
  <c r="K414" i="3"/>
  <c r="M414" i="3" s="1"/>
  <c r="L237" i="3"/>
  <c r="K148" i="3"/>
  <c r="L148" i="3" s="1"/>
  <c r="K659" i="3"/>
  <c r="L659" i="3" s="1"/>
  <c r="K538" i="3"/>
  <c r="L538" i="3" s="1"/>
  <c r="J720" i="3"/>
  <c r="L720" i="3" s="1"/>
  <c r="J391" i="3"/>
  <c r="L391" i="3" s="1"/>
  <c r="J512" i="3"/>
  <c r="M512" i="3" s="1"/>
  <c r="K452" i="3"/>
  <c r="M452" i="3" s="1"/>
  <c r="J724" i="3"/>
  <c r="L724" i="3" s="1"/>
  <c r="K456" i="3"/>
  <c r="M456" i="3" s="1"/>
  <c r="J35" i="3"/>
  <c r="M35" i="3" s="1"/>
  <c r="M97" i="3"/>
  <c r="M100" i="3"/>
  <c r="M166" i="3"/>
  <c r="L650" i="3"/>
  <c r="M111" i="3"/>
  <c r="L713" i="3"/>
  <c r="L308" i="3"/>
  <c r="K170" i="3"/>
  <c r="L170" i="3" s="1"/>
  <c r="L380" i="3"/>
  <c r="J744" i="3"/>
  <c r="L744" i="3" s="1"/>
  <c r="J503" i="3"/>
  <c r="M503" i="3" s="1"/>
  <c r="J592" i="3"/>
  <c r="M592" i="3" s="1"/>
  <c r="J20" i="3"/>
  <c r="M20" i="3" s="1"/>
  <c r="J679" i="3"/>
  <c r="L679" i="3" s="1"/>
  <c r="K114" i="3"/>
  <c r="M114" i="3" s="1"/>
  <c r="K145" i="3"/>
  <c r="L145" i="3" s="1"/>
  <c r="J476" i="3"/>
  <c r="M476" i="3" s="1"/>
  <c r="K656" i="3"/>
  <c r="M656" i="3" s="1"/>
  <c r="K717" i="3"/>
  <c r="L717" i="3" s="1"/>
  <c r="J718" i="3"/>
  <c r="L718" i="3" s="1"/>
  <c r="M332" i="3"/>
  <c r="L362" i="3"/>
  <c r="M219" i="3"/>
  <c r="K249" i="3"/>
  <c r="M249" i="3" s="1"/>
  <c r="J396" i="3"/>
  <c r="M396" i="3" s="1"/>
  <c r="J485" i="3"/>
  <c r="M251" i="3"/>
  <c r="K733" i="3"/>
  <c r="M733" i="3" s="1"/>
  <c r="K557" i="3"/>
  <c r="M557" i="3" s="1"/>
  <c r="J496" i="3"/>
  <c r="M496" i="3" s="1"/>
  <c r="K254" i="3"/>
  <c r="L254" i="3" s="1"/>
  <c r="K317" i="3"/>
  <c r="L317" i="3" s="1"/>
  <c r="J288" i="3"/>
  <c r="M288" i="3" s="1"/>
  <c r="K740" i="3"/>
  <c r="L740" i="3" s="1"/>
  <c r="K586" i="3"/>
  <c r="M586" i="3" s="1"/>
  <c r="M706" i="3"/>
  <c r="M589" i="3"/>
  <c r="J566" i="3"/>
  <c r="L566" i="3" s="1"/>
  <c r="L292" i="3"/>
  <c r="K231" i="3"/>
  <c r="M231" i="3" s="1"/>
  <c r="J473" i="3"/>
  <c r="M473" i="3" s="1"/>
  <c r="J119" i="3"/>
  <c r="K327" i="3"/>
  <c r="M327" i="3" s="1"/>
  <c r="K479" i="3"/>
  <c r="L479" i="3" s="1"/>
  <c r="K58" i="3"/>
  <c r="L58" i="3" s="1"/>
  <c r="K688" i="3"/>
  <c r="M688" i="3" s="1"/>
  <c r="J267" i="3"/>
  <c r="L267" i="3" s="1"/>
  <c r="L625" i="3"/>
  <c r="J628" i="3"/>
  <c r="M628" i="3" s="1"/>
  <c r="J271" i="3"/>
  <c r="M271" i="3" s="1"/>
  <c r="K356" i="3"/>
  <c r="J356" i="3"/>
  <c r="J64" i="3"/>
  <c r="M64" i="3" s="1"/>
  <c r="J547" i="3"/>
  <c r="L547" i="3" s="1"/>
  <c r="M127" i="3"/>
  <c r="L219" i="3"/>
  <c r="K366" i="3"/>
  <c r="M366" i="3" s="1"/>
  <c r="J128" i="3"/>
  <c r="L128" i="3" s="1"/>
  <c r="K131" i="3"/>
  <c r="L131" i="3" s="1"/>
  <c r="J697" i="3"/>
  <c r="J220" i="3"/>
  <c r="M220" i="3" s="1"/>
  <c r="J463" i="3"/>
  <c r="J488" i="3"/>
  <c r="M488" i="3" s="1"/>
  <c r="J490" i="3"/>
  <c r="M700" i="3"/>
  <c r="J134" i="3"/>
  <c r="L134" i="3" s="1"/>
  <c r="J370" i="3"/>
  <c r="L370" i="3" s="1"/>
  <c r="J434" i="3"/>
  <c r="M434" i="3" s="1"/>
  <c r="J194" i="3"/>
  <c r="J195" i="3"/>
  <c r="L195" i="3" s="1"/>
  <c r="J559" i="3"/>
  <c r="M559" i="3" s="1"/>
  <c r="L467" i="3"/>
  <c r="M467" i="3"/>
  <c r="J436" i="3"/>
  <c r="K436" i="3"/>
  <c r="K443" i="3"/>
  <c r="J443" i="3"/>
  <c r="K175" i="3"/>
  <c r="J175" i="3"/>
  <c r="J103" i="3"/>
  <c r="K103" i="3"/>
  <c r="L301" i="3"/>
  <c r="J426" i="3"/>
  <c r="M426" i="3" s="1"/>
  <c r="J364" i="3"/>
  <c r="M364" i="3" s="1"/>
  <c r="L427" i="3"/>
  <c r="K183" i="3"/>
  <c r="M183" i="3" s="1"/>
  <c r="J336" i="3"/>
  <c r="M336" i="3" s="1"/>
  <c r="M67" i="3"/>
  <c r="M726" i="3"/>
  <c r="M665" i="3"/>
  <c r="J727" i="3"/>
  <c r="M727" i="3" s="1"/>
  <c r="M666" i="3"/>
  <c r="J305" i="3"/>
  <c r="M305" i="3" s="1"/>
  <c r="L307" i="3"/>
  <c r="M339" i="3"/>
  <c r="K340" i="3"/>
  <c r="M340" i="3" s="1"/>
  <c r="M157" i="3"/>
  <c r="J132" i="3"/>
  <c r="M132" i="3" s="1"/>
  <c r="M520" i="3"/>
  <c r="L97" i="3"/>
  <c r="J521" i="3"/>
  <c r="M250" i="3"/>
  <c r="M730" i="3"/>
  <c r="L251" i="3"/>
  <c r="J310" i="3"/>
  <c r="L310" i="3" s="1"/>
  <c r="J489" i="3"/>
  <c r="M489" i="3" s="1"/>
  <c r="L100" i="3"/>
  <c r="K72" i="3"/>
  <c r="M72" i="3" s="1"/>
  <c r="K582" i="3"/>
  <c r="M582" i="3" s="1"/>
  <c r="J224" i="3"/>
  <c r="M224" i="3" s="1"/>
  <c r="J670" i="3"/>
  <c r="J314" i="3"/>
  <c r="M314" i="3" s="1"/>
  <c r="K526" i="3"/>
  <c r="J526" i="3"/>
  <c r="J136" i="3"/>
  <c r="L136" i="3" s="1"/>
  <c r="K108" i="3"/>
  <c r="J108" i="3"/>
  <c r="K591" i="3"/>
  <c r="J591" i="3"/>
  <c r="K505" i="3"/>
  <c r="J505" i="3"/>
  <c r="K621" i="3"/>
  <c r="J621" i="3"/>
  <c r="K269" i="3"/>
  <c r="J269" i="3"/>
  <c r="K273" i="3"/>
  <c r="M273" i="3" s="1"/>
  <c r="M333" i="3"/>
  <c r="K363" i="3"/>
  <c r="L363" i="3" s="1"/>
  <c r="J394" i="3"/>
  <c r="M394" i="3" s="1"/>
  <c r="J514" i="3"/>
  <c r="L514" i="3" s="1"/>
  <c r="L604" i="3"/>
  <c r="J458" i="3"/>
  <c r="L458" i="3" s="1"/>
  <c r="K576" i="3"/>
  <c r="M248" i="3"/>
  <c r="K218" i="3"/>
  <c r="L218" i="3" s="1"/>
  <c r="K129" i="3"/>
  <c r="L129" i="3" s="1"/>
  <c r="M461" i="3"/>
  <c r="K369" i="3"/>
  <c r="L369" i="3" s="1"/>
  <c r="L158" i="3"/>
  <c r="L133" i="3"/>
  <c r="J701" i="3"/>
  <c r="J523" i="3"/>
  <c r="L523" i="3" s="1"/>
  <c r="L282" i="3"/>
  <c r="J374" i="3"/>
  <c r="J525" i="3"/>
  <c r="K525" i="3"/>
  <c r="J316" i="3"/>
  <c r="K316" i="3"/>
  <c r="J73" i="3"/>
  <c r="K73" i="3"/>
  <c r="L609" i="3"/>
  <c r="K528" i="3"/>
  <c r="J528" i="3"/>
  <c r="K320" i="3"/>
  <c r="J320" i="3"/>
  <c r="K752" i="3"/>
  <c r="J752" i="3"/>
  <c r="L214" i="3"/>
  <c r="M483" i="3"/>
  <c r="M205" i="3"/>
  <c r="L205" i="3"/>
  <c r="M229" i="3"/>
  <c r="L229" i="3"/>
  <c r="K319" i="3"/>
  <c r="J319" i="3"/>
  <c r="K232" i="3"/>
  <c r="J232" i="3"/>
  <c r="L578" i="3"/>
  <c r="L485" i="3"/>
  <c r="K163" i="3"/>
  <c r="J163" i="3"/>
  <c r="K235" i="3"/>
  <c r="J235" i="3"/>
  <c r="K265" i="3"/>
  <c r="J265" i="3"/>
  <c r="M266" i="3"/>
  <c r="L266" i="3"/>
  <c r="M182" i="3"/>
  <c r="L182" i="3"/>
  <c r="K209" i="3"/>
  <c r="J209" i="3"/>
  <c r="L513" i="3"/>
  <c r="K636" i="3"/>
  <c r="M636" i="3" s="1"/>
  <c r="J365" i="3"/>
  <c r="M365" i="3" s="1"/>
  <c r="M4" i="3"/>
  <c r="J188" i="3"/>
  <c r="M188" i="3" s="1"/>
  <c r="J519" i="3"/>
  <c r="L486" i="3"/>
  <c r="K698" i="3"/>
  <c r="M698" i="3" s="1"/>
  <c r="M5" i="3"/>
  <c r="K554" i="3"/>
  <c r="M554" i="3" s="1"/>
  <c r="K6" i="3"/>
  <c r="L6" i="3" s="1"/>
  <c r="J222" i="3"/>
  <c r="M222" i="3" s="1"/>
  <c r="K642" i="3"/>
  <c r="M642" i="3" s="1"/>
  <c r="J524" i="3"/>
  <c r="M524" i="3" s="1"/>
  <c r="M643" i="3"/>
  <c r="J252" i="3"/>
  <c r="M252" i="3" s="1"/>
  <c r="M196" i="3"/>
  <c r="K41" i="3"/>
  <c r="M41" i="3" s="1"/>
  <c r="J735" i="3"/>
  <c r="L735" i="3" s="1"/>
  <c r="K315" i="3"/>
  <c r="J315" i="3"/>
  <c r="K583" i="3"/>
  <c r="J583" i="3"/>
  <c r="K739" i="3"/>
  <c r="L739" i="3" s="1"/>
  <c r="M651" i="3"/>
  <c r="L651" i="3"/>
  <c r="K705" i="3"/>
  <c r="J705" i="3"/>
  <c r="L565" i="3"/>
  <c r="J620" i="3"/>
  <c r="K620" i="3"/>
  <c r="K238" i="3"/>
  <c r="J238" i="3"/>
  <c r="K420" i="3"/>
  <c r="J420" i="3"/>
  <c r="K421" i="3"/>
  <c r="J421" i="3"/>
  <c r="M717" i="3"/>
  <c r="K91" i="3"/>
  <c r="J91" i="3"/>
  <c r="K274" i="3"/>
  <c r="M274" i="3" s="1"/>
  <c r="K544" i="3"/>
  <c r="M544" i="3" s="1"/>
  <c r="M723" i="3"/>
  <c r="J184" i="3"/>
  <c r="M184" i="3" s="1"/>
  <c r="K457" i="3"/>
  <c r="M457" i="3" s="1"/>
  <c r="M40" i="3"/>
  <c r="K353" i="3"/>
  <c r="J353" i="3"/>
  <c r="K117" i="3"/>
  <c r="J117" i="3"/>
  <c r="M358" i="3"/>
  <c r="L358" i="3"/>
  <c r="L714" i="3"/>
  <c r="M537" i="3"/>
  <c r="L537" i="3"/>
  <c r="K647" i="3"/>
  <c r="L647" i="3" s="1"/>
  <c r="J402" i="3"/>
  <c r="L402" i="3" s="1"/>
  <c r="J253" i="3"/>
  <c r="M253" i="3" s="1"/>
  <c r="K199" i="3"/>
  <c r="L199" i="3" s="1"/>
  <c r="K672" i="3"/>
  <c r="M672" i="3" s="1"/>
  <c r="L166" i="3"/>
  <c r="L376" i="3"/>
  <c r="J44" i="3"/>
  <c r="M44" i="3" s="1"/>
  <c r="J168" i="3"/>
  <c r="M168" i="3" s="1"/>
  <c r="K169" i="3"/>
  <c r="M169" i="3" s="1"/>
  <c r="L48" i="3"/>
  <c r="K206" i="3"/>
  <c r="M206" i="3" s="1"/>
  <c r="J51" i="3"/>
  <c r="M51" i="3" s="1"/>
  <c r="J654" i="3"/>
  <c r="L654" i="3" s="1"/>
  <c r="J53" i="3"/>
  <c r="L53" i="3" s="1"/>
  <c r="L623" i="3"/>
  <c r="J400" i="3"/>
  <c r="L400" i="3" s="1"/>
  <c r="K12" i="3"/>
  <c r="L12" i="3" s="1"/>
  <c r="J377" i="3"/>
  <c r="L377" i="3" s="1"/>
  <c r="J290" i="3"/>
  <c r="L290" i="3" s="1"/>
  <c r="J404" i="3"/>
  <c r="L404" i="3" s="1"/>
  <c r="J611" i="3"/>
  <c r="L706" i="3"/>
  <c r="J708" i="3"/>
  <c r="L708" i="3" s="1"/>
  <c r="K21" i="3"/>
  <c r="L21" i="3" s="1"/>
  <c r="J258" i="3"/>
  <c r="L258" i="3" s="1"/>
  <c r="J116" i="3"/>
  <c r="J234" i="3"/>
  <c r="L567" i="3"/>
  <c r="J323" i="3"/>
  <c r="M323" i="3" s="1"/>
  <c r="L357" i="3"/>
  <c r="J261" i="3"/>
  <c r="M261" i="3" s="1"/>
  <c r="J236" i="3"/>
  <c r="J390" i="3"/>
  <c r="M390" i="3" s="1"/>
  <c r="M623" i="3"/>
  <c r="J719" i="3"/>
  <c r="L719" i="3" s="1"/>
  <c r="J571" i="3"/>
  <c r="K661" i="3"/>
  <c r="M661" i="3" s="1"/>
  <c r="J270" i="3"/>
  <c r="J541" i="3"/>
  <c r="J630" i="3"/>
  <c r="M630" i="3" s="1"/>
  <c r="J241" i="3"/>
  <c r="L197" i="3"/>
  <c r="J435" i="3"/>
  <c r="K347" i="3"/>
  <c r="M347" i="3" s="1"/>
  <c r="K226" i="3"/>
  <c r="L226" i="3" s="1"/>
  <c r="J43" i="3"/>
  <c r="L43" i="3" s="1"/>
  <c r="J737" i="3"/>
  <c r="J167" i="3"/>
  <c r="M167" i="3" s="1"/>
  <c r="J674" i="3"/>
  <c r="M674" i="3" s="1"/>
  <c r="K610" i="3"/>
  <c r="L610" i="3" s="1"/>
  <c r="L171" i="3"/>
  <c r="J593" i="3"/>
  <c r="L593" i="3" s="1"/>
  <c r="J745" i="3"/>
  <c r="J594" i="3"/>
  <c r="L594" i="3" s="1"/>
  <c r="J77" i="3"/>
  <c r="J709" i="3"/>
  <c r="M709" i="3" s="1"/>
  <c r="L230" i="3"/>
  <c r="J140" i="3"/>
  <c r="L140" i="3" s="1"/>
  <c r="J711" i="3"/>
  <c r="J618" i="3"/>
  <c r="L618" i="3" s="1"/>
  <c r="J747" i="3"/>
  <c r="M747" i="3" s="1"/>
  <c r="M713" i="3"/>
  <c r="J259" i="3"/>
  <c r="M259" i="3" s="1"/>
  <c r="M444" i="3"/>
  <c r="J680" i="3"/>
  <c r="M680" i="3" s="1"/>
  <c r="L26" i="3"/>
  <c r="L324" i="3"/>
  <c r="J295" i="3"/>
  <c r="J81" i="3"/>
  <c r="M81" i="3" s="1"/>
  <c r="J326" i="3"/>
  <c r="J445" i="3"/>
  <c r="M445" i="3" s="1"/>
  <c r="M263" i="3"/>
  <c r="J715" i="3"/>
  <c r="L656" i="3"/>
  <c r="J299" i="3"/>
  <c r="K28" i="3"/>
  <c r="M28" i="3" s="1"/>
  <c r="L749" i="3"/>
  <c r="J657" i="3"/>
  <c r="L657" i="3" s="1"/>
  <c r="J211" i="3"/>
  <c r="M211" i="3" s="1"/>
  <c r="J569" i="3"/>
  <c r="M569" i="3" s="1"/>
  <c r="L332" i="3"/>
  <c r="J721" i="3"/>
  <c r="M721" i="3" s="1"/>
  <c r="J122" i="3"/>
  <c r="M122" i="3" s="1"/>
  <c r="M380" i="3"/>
  <c r="M105" i="3"/>
  <c r="J138" i="3"/>
  <c r="L138" i="3" s="1"/>
  <c r="L233" i="3"/>
  <c r="K384" i="3"/>
  <c r="M384" i="3" s="1"/>
  <c r="K25" i="3"/>
  <c r="M25" i="3" s="1"/>
  <c r="M532" i="3"/>
  <c r="L387" i="3"/>
  <c r="K176" i="3"/>
  <c r="M176" i="3" s="1"/>
  <c r="K83" i="3"/>
  <c r="L83" i="3" s="1"/>
  <c r="K448" i="3"/>
  <c r="M331" i="3"/>
  <c r="L543" i="3"/>
  <c r="L554" i="3"/>
  <c r="K501" i="3"/>
  <c r="J501" i="3"/>
  <c r="M440" i="3"/>
  <c r="L440" i="3"/>
  <c r="K577" i="3"/>
  <c r="K638" i="3"/>
  <c r="L638" i="3" s="1"/>
  <c r="M68" i="3"/>
  <c r="M579" i="3"/>
  <c r="L579" i="3"/>
  <c r="K11" i="3"/>
  <c r="J11" i="3"/>
  <c r="K495" i="3"/>
  <c r="J495" i="3"/>
  <c r="L562" i="3"/>
  <c r="M562" i="3"/>
  <c r="L723" i="3"/>
  <c r="J545" i="3"/>
  <c r="J664" i="3"/>
  <c r="J635" i="3"/>
  <c r="J334" i="3"/>
  <c r="J245" i="3"/>
  <c r="J695" i="3"/>
  <c r="J124" i="3"/>
  <c r="J246" i="3"/>
  <c r="L665" i="3"/>
  <c r="J637" i="3"/>
  <c r="J96" i="3"/>
  <c r="M307" i="3"/>
  <c r="J130" i="3"/>
  <c r="M485" i="3"/>
  <c r="M729" i="3"/>
  <c r="L729" i="3"/>
  <c r="K368" i="3"/>
  <c r="J368" i="3"/>
  <c r="M553" i="3"/>
  <c r="L553" i="3"/>
  <c r="K522" i="3"/>
  <c r="J522" i="3"/>
  <c r="L95" i="3"/>
  <c r="L67" i="3"/>
  <c r="L666" i="3"/>
  <c r="K37" i="3"/>
  <c r="J37" i="3"/>
  <c r="M98" i="3"/>
  <c r="L98" i="3"/>
  <c r="J669" i="3"/>
  <c r="K669" i="3"/>
  <c r="M403" i="3"/>
  <c r="L403" i="3"/>
  <c r="L333" i="3"/>
  <c r="J424" i="3"/>
  <c r="J153" i="3"/>
  <c r="J66" i="3"/>
  <c r="J693" i="3"/>
  <c r="J335" i="3"/>
  <c r="J694" i="3"/>
  <c r="J428" i="3"/>
  <c r="J125" i="3"/>
  <c r="L726" i="3"/>
  <c r="J454" i="3"/>
  <c r="J573" i="3"/>
  <c r="J155" i="3"/>
  <c r="J247" i="3"/>
  <c r="J216" i="3"/>
  <c r="L248" i="3"/>
  <c r="J696" i="3"/>
  <c r="J453" i="3"/>
  <c r="L393" i="3"/>
  <c r="J213" i="3"/>
  <c r="J663" i="3"/>
  <c r="L423" i="3"/>
  <c r="J633" i="3"/>
  <c r="J275" i="3"/>
  <c r="J123" i="3"/>
  <c r="J546" i="3"/>
  <c r="J455" i="3"/>
  <c r="J337" i="3"/>
  <c r="J605" i="3"/>
  <c r="J276" i="3"/>
  <c r="K278" i="3"/>
  <c r="M278" i="3" s="1"/>
  <c r="K552" i="3"/>
  <c r="J552" i="3"/>
  <c r="J187" i="3"/>
  <c r="K516" i="3"/>
  <c r="J516" i="3"/>
  <c r="M517" i="3"/>
  <c r="L517" i="3"/>
  <c r="M429" i="3"/>
  <c r="L429" i="3"/>
  <c r="K430" i="3"/>
  <c r="J430" i="3"/>
  <c r="K433" i="3"/>
  <c r="J433" i="3"/>
  <c r="J634" i="3"/>
  <c r="J425" i="3"/>
  <c r="J65" i="3"/>
  <c r="J154" i="3"/>
  <c r="J725" i="3"/>
  <c r="L483" i="3"/>
  <c r="J395" i="3"/>
  <c r="J3" i="3"/>
  <c r="J303" i="3"/>
  <c r="J215" i="3"/>
  <c r="J185" i="3"/>
  <c r="J548" i="3"/>
  <c r="J217" i="3"/>
  <c r="J549" i="3"/>
  <c r="J484" i="3"/>
  <c r="K38" i="3"/>
  <c r="J38" i="3"/>
  <c r="L132" i="3"/>
  <c r="M191" i="3"/>
  <c r="L191" i="3"/>
  <c r="J223" i="3"/>
  <c r="K223" i="3"/>
  <c r="J550" i="3"/>
  <c r="M578" i="3"/>
  <c r="K462" i="3"/>
  <c r="J462" i="3"/>
  <c r="K221" i="3"/>
  <c r="J221" i="3"/>
  <c r="K102" i="3"/>
  <c r="J102" i="3"/>
  <c r="K649" i="3"/>
  <c r="J649" i="3"/>
  <c r="K608" i="3"/>
  <c r="J608" i="3"/>
  <c r="K13" i="3"/>
  <c r="J13" i="3"/>
  <c r="K15" i="3"/>
  <c r="J15" i="3"/>
  <c r="J286" i="3"/>
  <c r="K286" i="3"/>
  <c r="L201" i="3"/>
  <c r="K225" i="3"/>
  <c r="J225" i="3"/>
  <c r="L345" i="3"/>
  <c r="K741" i="3"/>
  <c r="J741" i="3"/>
  <c r="J189" i="3"/>
  <c r="J728" i="3"/>
  <c r="J639" i="3"/>
  <c r="J69" i="3"/>
  <c r="L250" i="3"/>
  <c r="J699" i="3"/>
  <c r="L580" i="3"/>
  <c r="L730" i="3"/>
  <c r="J192" i="3"/>
  <c r="J732" i="3"/>
  <c r="J432" i="3"/>
  <c r="L700" i="3"/>
  <c r="J101" i="3"/>
  <c r="J344" i="3"/>
  <c r="K734" i="3"/>
  <c r="L734" i="3" s="1"/>
  <c r="L41" i="3"/>
  <c r="K671" i="3"/>
  <c r="J671" i="3"/>
  <c r="L346" i="3"/>
  <c r="M346" i="3"/>
  <c r="K563" i="3"/>
  <c r="J563" i="3"/>
  <c r="J518" i="3"/>
  <c r="L367" i="3"/>
  <c r="J39" i="3"/>
  <c r="L520" i="3"/>
  <c r="J190" i="3"/>
  <c r="J731" i="3"/>
  <c r="J99" i="3"/>
  <c r="J70" i="3"/>
  <c r="J281" i="3"/>
  <c r="J193" i="3"/>
  <c r="K493" i="3"/>
  <c r="M493" i="3" s="1"/>
  <c r="M523" i="3"/>
  <c r="L40" i="3"/>
  <c r="K9" i="3"/>
  <c r="L9" i="3" s="1"/>
  <c r="K494" i="3"/>
  <c r="L494" i="3" s="1"/>
  <c r="K645" i="3"/>
  <c r="J645" i="3"/>
  <c r="K668" i="3"/>
  <c r="J668" i="3"/>
  <c r="K558" i="3"/>
  <c r="J558" i="3"/>
  <c r="J106" i="3"/>
  <c r="K106" i="3"/>
  <c r="K378" i="3"/>
  <c r="J378" i="3"/>
  <c r="K703" i="3"/>
  <c r="J703" i="3"/>
  <c r="M437" i="3"/>
  <c r="L437" i="3"/>
  <c r="K71" i="3"/>
  <c r="L71" i="3" s="1"/>
  <c r="J7" i="3"/>
  <c r="K371" i="3"/>
  <c r="J371" i="3"/>
  <c r="K606" i="3"/>
  <c r="L606" i="3" s="1"/>
  <c r="M312" i="3"/>
  <c r="L643" i="3"/>
  <c r="M581" i="3"/>
  <c r="L581" i="3"/>
  <c r="M607" i="3"/>
  <c r="L607" i="3"/>
  <c r="K161" i="3"/>
  <c r="J161" i="3"/>
  <c r="L349" i="3"/>
  <c r="M165" i="3"/>
  <c r="L165" i="3"/>
  <c r="M468" i="3"/>
  <c r="L468" i="3"/>
  <c r="J350" i="3"/>
  <c r="K350" i="3"/>
  <c r="L288" i="3"/>
  <c r="J45" i="3"/>
  <c r="K497" i="3"/>
  <c r="L497" i="3" s="1"/>
  <c r="K438" i="3"/>
  <c r="L438" i="3" s="1"/>
  <c r="K612" i="3"/>
  <c r="L612" i="3" s="1"/>
  <c r="M227" i="3"/>
  <c r="L227" i="3"/>
  <c r="M500" i="3"/>
  <c r="L500" i="3"/>
  <c r="M614" i="3"/>
  <c r="M54" i="3"/>
  <c r="L54" i="3"/>
  <c r="M738" i="3"/>
  <c r="J16" i="3"/>
  <c r="K17" i="3"/>
  <c r="M613" i="3"/>
  <c r="L613" i="3"/>
  <c r="K439" i="3"/>
  <c r="J439" i="3"/>
  <c r="M257" i="3"/>
  <c r="L257" i="3"/>
  <c r="M110" i="3"/>
  <c r="K507" i="3"/>
  <c r="J507" i="3"/>
  <c r="M90" i="3"/>
  <c r="L632" i="3"/>
  <c r="K616" i="3"/>
  <c r="J616" i="3"/>
  <c r="K354" i="3"/>
  <c r="J354" i="3"/>
  <c r="K75" i="3"/>
  <c r="J75" i="3"/>
  <c r="M681" i="3"/>
  <c r="L681" i="3"/>
  <c r="M684" i="3"/>
  <c r="L684" i="3"/>
  <c r="M29" i="3"/>
  <c r="L29" i="3"/>
  <c r="K318" i="3"/>
  <c r="J318" i="3"/>
  <c r="M256" i="3"/>
  <c r="L256" i="3"/>
  <c r="K587" i="3"/>
  <c r="J587" i="3"/>
  <c r="K527" i="3"/>
  <c r="J527" i="3"/>
  <c r="M677" i="3"/>
  <c r="L677" i="3"/>
  <c r="K441" i="3"/>
  <c r="J441" i="3"/>
  <c r="K294" i="3"/>
  <c r="J294" i="3"/>
  <c r="K359" i="3"/>
  <c r="J359" i="3"/>
  <c r="K422" i="3"/>
  <c r="J422" i="3"/>
  <c r="L18" i="3"/>
  <c r="L405" i="3"/>
  <c r="L586" i="3"/>
  <c r="K109" i="3"/>
  <c r="J109" i="3"/>
  <c r="M203" i="3"/>
  <c r="L203" i="3"/>
  <c r="K228" i="3"/>
  <c r="J228" i="3"/>
  <c r="L503" i="3"/>
  <c r="J584" i="3"/>
  <c r="L351" i="3"/>
  <c r="J74" i="3"/>
  <c r="M564" i="3"/>
  <c r="K615" i="3"/>
  <c r="J615" i="3"/>
  <c r="K204" i="3"/>
  <c r="J204" i="3"/>
  <c r="M296" i="3"/>
  <c r="L296" i="3"/>
  <c r="L149" i="3"/>
  <c r="K585" i="3"/>
  <c r="J585" i="3"/>
  <c r="M406" i="3"/>
  <c r="K291" i="3"/>
  <c r="J291" i="3"/>
  <c r="M19" i="3"/>
  <c r="L19" i="3"/>
  <c r="M599" i="3"/>
  <c r="K379" i="3"/>
  <c r="J379" i="3"/>
  <c r="K498" i="3"/>
  <c r="J498" i="3"/>
  <c r="K502" i="3"/>
  <c r="J502" i="3"/>
  <c r="K141" i="3"/>
  <c r="J141" i="3"/>
  <c r="K683" i="3"/>
  <c r="J683" i="3"/>
  <c r="K678" i="3"/>
  <c r="J678" i="3"/>
  <c r="J408" i="3"/>
  <c r="K78" i="3"/>
  <c r="J78" i="3"/>
  <c r="M382" i="3"/>
  <c r="L382" i="3"/>
  <c r="K173" i="3"/>
  <c r="J173" i="3"/>
  <c r="J412" i="3"/>
  <c r="J531" i="3"/>
  <c r="M119" i="3"/>
  <c r="L119" i="3"/>
  <c r="K178" i="3"/>
  <c r="J178" i="3"/>
  <c r="K716" i="3"/>
  <c r="J716" i="3"/>
  <c r="K689" i="3"/>
  <c r="J689" i="3"/>
  <c r="K87" i="3"/>
  <c r="J87" i="3"/>
  <c r="K626" i="3"/>
  <c r="J626" i="3"/>
  <c r="K627" i="3"/>
  <c r="J627" i="3"/>
  <c r="K629" i="3"/>
  <c r="J629" i="3"/>
  <c r="K381" i="3"/>
  <c r="J381" i="3"/>
  <c r="K52" i="3"/>
  <c r="J52" i="3"/>
  <c r="K619" i="3"/>
  <c r="J619" i="3"/>
  <c r="K142" i="3"/>
  <c r="J142" i="3"/>
  <c r="J385" i="3"/>
  <c r="K385" i="3"/>
  <c r="K57" i="3"/>
  <c r="J57" i="3"/>
  <c r="M686" i="3"/>
  <c r="L686" i="3"/>
  <c r="M534" i="3"/>
  <c r="L534" i="3"/>
  <c r="K330" i="3"/>
  <c r="J330" i="3"/>
  <c r="K482" i="3"/>
  <c r="J482" i="3"/>
  <c r="K49" i="3"/>
  <c r="J49" i="3"/>
  <c r="M474" i="3"/>
  <c r="L474" i="3"/>
  <c r="M144" i="3"/>
  <c r="L144" i="3"/>
  <c r="K147" i="3"/>
  <c r="J147" i="3"/>
  <c r="M360" i="3"/>
  <c r="L360" i="3"/>
  <c r="K239" i="3"/>
  <c r="J239" i="3"/>
  <c r="M212" i="3"/>
  <c r="L212" i="3"/>
  <c r="K691" i="3"/>
  <c r="J691" i="3"/>
  <c r="K751" i="3"/>
  <c r="J751" i="3"/>
  <c r="M22" i="3"/>
  <c r="L22" i="3"/>
  <c r="L471" i="3"/>
  <c r="M472" i="3"/>
  <c r="L472" i="3"/>
  <c r="L411" i="3"/>
  <c r="K143" i="3"/>
  <c r="J143" i="3"/>
  <c r="K23" i="3"/>
  <c r="J23" i="3"/>
  <c r="K597" i="3"/>
  <c r="J597" i="3"/>
  <c r="K509" i="3"/>
  <c r="J509" i="3"/>
  <c r="K264" i="3"/>
  <c r="J264" i="3"/>
  <c r="J60" i="3"/>
  <c r="K84" i="3"/>
  <c r="J84" i="3"/>
  <c r="K392" i="3"/>
  <c r="J392" i="3"/>
  <c r="M240" i="3"/>
  <c r="L240" i="3"/>
  <c r="L564" i="3"/>
  <c r="L588" i="3"/>
  <c r="L352" i="3"/>
  <c r="J707" i="3"/>
  <c r="L614" i="3"/>
  <c r="L110" i="3"/>
  <c r="J469" i="3"/>
  <c r="J112" i="3"/>
  <c r="K409" i="3"/>
  <c r="J409" i="3"/>
  <c r="M529" i="3"/>
  <c r="L529" i="3"/>
  <c r="M617" i="3"/>
  <c r="L617" i="3"/>
  <c r="J115" i="3"/>
  <c r="L596" i="3"/>
  <c r="L79" i="3"/>
  <c r="L475" i="3"/>
  <c r="M598" i="3"/>
  <c r="L598" i="3"/>
  <c r="K682" i="3"/>
  <c r="M682" i="3" s="1"/>
  <c r="J325" i="3"/>
  <c r="K622" i="3"/>
  <c r="J622" i="3"/>
  <c r="K535" i="3"/>
  <c r="J535" i="3"/>
  <c r="L179" i="3"/>
  <c r="J446" i="3"/>
  <c r="J602" i="3"/>
  <c r="J690" i="3"/>
  <c r="M750" i="3"/>
  <c r="K662" i="3"/>
  <c r="J662" i="3"/>
  <c r="J47" i="3"/>
  <c r="L111" i="3"/>
  <c r="J710" i="3"/>
  <c r="M172" i="3"/>
  <c r="L172" i="3"/>
  <c r="M293" i="3"/>
  <c r="L293" i="3"/>
  <c r="J207" i="3"/>
  <c r="K118" i="3"/>
  <c r="J118" i="3"/>
  <c r="J568" i="3"/>
  <c r="L532" i="3"/>
  <c r="J415" i="3"/>
  <c r="J120" i="3"/>
  <c r="K82" i="3"/>
  <c r="J82" i="3"/>
  <c r="L177" i="3"/>
  <c r="L28" i="3"/>
  <c r="K624" i="3"/>
  <c r="J624" i="3"/>
  <c r="M744" i="3"/>
  <c r="K413" i="3"/>
  <c r="J413" i="3"/>
  <c r="K508" i="3"/>
  <c r="J508" i="3"/>
  <c r="K361" i="3"/>
  <c r="J361" i="3"/>
  <c r="K449" i="3"/>
  <c r="J449" i="3"/>
  <c r="M632" i="3"/>
  <c r="K152" i="3"/>
  <c r="J152" i="3"/>
  <c r="K481" i="3"/>
  <c r="J481" i="3"/>
  <c r="K687" i="3"/>
  <c r="J687" i="3"/>
  <c r="K572" i="3"/>
  <c r="J572" i="3"/>
  <c r="K302" i="3"/>
  <c r="J302" i="3"/>
  <c r="M478" i="3"/>
  <c r="L655" i="3"/>
  <c r="M297" i="3"/>
  <c r="L297" i="3"/>
  <c r="K685" i="3"/>
  <c r="J685" i="3"/>
  <c r="K328" i="3"/>
  <c r="J328" i="3"/>
  <c r="M418" i="3"/>
  <c r="L418" i="3"/>
  <c r="K181" i="3"/>
  <c r="J181" i="3"/>
  <c r="K121" i="3"/>
  <c r="J121" i="3"/>
  <c r="M386" i="3"/>
  <c r="L386" i="3"/>
  <c r="K298" i="3"/>
  <c r="J298" i="3"/>
  <c r="K510" i="3"/>
  <c r="J510" i="3"/>
  <c r="M180" i="3"/>
  <c r="M417" i="3"/>
  <c r="L417" i="3"/>
  <c r="J242" i="3"/>
  <c r="L478" i="3"/>
  <c r="M655" i="3"/>
  <c r="M56" i="3"/>
  <c r="M388" i="3"/>
  <c r="L388" i="3"/>
  <c r="K146" i="3"/>
  <c r="J146" i="3"/>
  <c r="M536" i="3"/>
  <c r="L536" i="3"/>
  <c r="J480" i="3"/>
  <c r="K416" i="3"/>
  <c r="J416" i="3"/>
  <c r="J268" i="3"/>
  <c r="K450" i="3"/>
  <c r="J450" i="3"/>
  <c r="K62" i="3"/>
  <c r="J62" i="3"/>
  <c r="K542" i="3"/>
  <c r="J542" i="3"/>
  <c r="J32" i="3"/>
  <c r="M272" i="3"/>
  <c r="J722" i="3"/>
  <c r="L61" i="3" l="1"/>
  <c r="L274" i="3"/>
  <c r="M226" i="3"/>
  <c r="M321" i="3"/>
  <c r="L42" i="3"/>
  <c r="M595" i="3"/>
  <c r="L592" i="3"/>
  <c r="M397" i="3"/>
  <c r="M667" i="3"/>
  <c r="L487" i="3"/>
  <c r="M652" i="3"/>
  <c r="L222" i="3"/>
  <c r="L512" i="3"/>
  <c r="L641" i="3"/>
  <c r="L174" i="3"/>
  <c r="M300" i="3"/>
  <c r="L30" i="3"/>
  <c r="L14" i="3"/>
  <c r="M431" i="3"/>
  <c r="M260" i="3"/>
  <c r="L271" i="3"/>
  <c r="L156" i="3"/>
  <c r="M660" i="3"/>
  <c r="M530" i="3"/>
  <c r="M556" i="3"/>
  <c r="M724" i="3"/>
  <c r="L658" i="3"/>
  <c r="M202" i="3"/>
  <c r="M740" i="3"/>
  <c r="L107" i="3"/>
  <c r="L561" i="3"/>
  <c r="L704" i="3"/>
  <c r="L262" i="3"/>
  <c r="M538" i="3"/>
  <c r="M375" i="3"/>
  <c r="M73" i="3"/>
  <c r="L451" i="3"/>
  <c r="L27" i="3"/>
  <c r="L399" i="3"/>
  <c r="M140" i="3"/>
  <c r="M162" i="3"/>
  <c r="L73" i="3"/>
  <c r="L396" i="3"/>
  <c r="M218" i="3"/>
  <c r="L473" i="3"/>
  <c r="L117" i="3"/>
  <c r="L311" i="3"/>
  <c r="M752" i="3"/>
  <c r="M88" i="3"/>
  <c r="M55" i="3"/>
  <c r="M648" i="3"/>
  <c r="L752" i="3"/>
  <c r="L80" i="3"/>
  <c r="L285" i="3"/>
  <c r="L323" i="3"/>
  <c r="L232" i="3"/>
  <c r="L646" i="3"/>
  <c r="L341" i="3"/>
  <c r="L452" i="3"/>
  <c r="L680" i="3"/>
  <c r="L674" i="3"/>
  <c r="L305" i="3"/>
  <c r="M317" i="3"/>
  <c r="L640" i="3"/>
  <c r="M654" i="3"/>
  <c r="L414" i="3"/>
  <c r="L466" i="3"/>
  <c r="L489" i="3"/>
  <c r="L36" i="3"/>
  <c r="M555" i="3"/>
  <c r="L89" i="3"/>
  <c r="M108" i="3"/>
  <c r="M83" i="3"/>
  <c r="L559" i="3"/>
  <c r="L488" i="3"/>
  <c r="L231" i="3"/>
  <c r="M590" i="3"/>
  <c r="M659" i="3"/>
  <c r="L176" i="3"/>
  <c r="L672" i="3"/>
  <c r="L249" i="3"/>
  <c r="M91" i="3"/>
  <c r="L702" i="3"/>
  <c r="M400" i="3"/>
  <c r="L426" i="3"/>
  <c r="M238" i="3"/>
  <c r="M591" i="3"/>
  <c r="M46" i="3"/>
  <c r="M195" i="3"/>
  <c r="M560" i="3"/>
  <c r="L284" i="3"/>
  <c r="M267" i="3"/>
  <c r="M735" i="3"/>
  <c r="M575" i="3"/>
  <c r="M135" i="3"/>
  <c r="L491" i="3"/>
  <c r="M525" i="3"/>
  <c r="L476" i="3"/>
  <c r="L72" i="3"/>
  <c r="L253" i="3"/>
  <c r="L306" i="3"/>
  <c r="M372" i="3"/>
  <c r="M505" i="3"/>
  <c r="L85" i="3"/>
  <c r="L499" i="3"/>
  <c r="M377" i="3"/>
  <c r="L309" i="3"/>
  <c r="L364" i="3"/>
  <c r="L603" i="3"/>
  <c r="L628" i="3"/>
  <c r="L50" i="3"/>
  <c r="L208" i="3"/>
  <c r="L159" i="3"/>
  <c r="M363" i="3"/>
  <c r="M705" i="3"/>
  <c r="L456" i="3"/>
  <c r="M148" i="3"/>
  <c r="M644" i="3"/>
  <c r="L434" i="3"/>
  <c r="M404" i="3"/>
  <c r="M186" i="3"/>
  <c r="L630" i="3"/>
  <c r="L167" i="3"/>
  <c r="M76" i="3"/>
  <c r="L705" i="3"/>
  <c r="M719" i="3"/>
  <c r="L44" i="3"/>
  <c r="M12" i="3"/>
  <c r="M369" i="3"/>
  <c r="M459" i="3"/>
  <c r="M675" i="3"/>
  <c r="M583" i="3"/>
  <c r="M319" i="3"/>
  <c r="L126" i="3"/>
  <c r="L137" i="3"/>
  <c r="L470" i="3"/>
  <c r="M610" i="3"/>
  <c r="L8" i="3"/>
  <c r="M570" i="3"/>
  <c r="M389" i="3"/>
  <c r="M258" i="3"/>
  <c r="M708" i="3"/>
  <c r="L525" i="3"/>
  <c r="L557" i="3"/>
  <c r="M420" i="3"/>
  <c r="L277" i="3"/>
  <c r="L340" i="3"/>
  <c r="M58" i="3"/>
  <c r="M618" i="3"/>
  <c r="L59" i="3"/>
  <c r="M673" i="3"/>
  <c r="L243" i="3"/>
  <c r="L329" i="3"/>
  <c r="L524" i="3"/>
  <c r="M464" i="3"/>
  <c r="M134" i="3"/>
  <c r="L280" i="3"/>
  <c r="L94" i="3"/>
  <c r="M679" i="3"/>
  <c r="M718" i="3"/>
  <c r="L287" i="3"/>
  <c r="M343" i="3"/>
  <c r="M477" i="3"/>
  <c r="L163" i="3"/>
  <c r="M316" i="3"/>
  <c r="L653" i="3"/>
  <c r="L168" i="3"/>
  <c r="L583" i="3"/>
  <c r="L198" i="3"/>
  <c r="L398" i="3"/>
  <c r="L313" i="3"/>
  <c r="L365" i="3"/>
  <c r="L347" i="3"/>
  <c r="L273" i="3"/>
  <c r="M353" i="3"/>
  <c r="M443" i="3"/>
  <c r="L150" i="3"/>
  <c r="L709" i="3"/>
  <c r="L342" i="3"/>
  <c r="M647" i="3"/>
  <c r="L314" i="3"/>
  <c r="L64" i="3"/>
  <c r="L33" i="3"/>
  <c r="L465" i="3"/>
  <c r="L315" i="3"/>
  <c r="M63" i="3"/>
  <c r="L322" i="3"/>
  <c r="L34" i="3"/>
  <c r="L445" i="3"/>
  <c r="L220" i="3"/>
  <c r="L316" i="3"/>
  <c r="M310" i="3"/>
  <c r="M244" i="3"/>
  <c r="L511" i="3"/>
  <c r="L211" i="3"/>
  <c r="L319" i="3"/>
  <c r="L591" i="3"/>
  <c r="M540" i="3"/>
  <c r="M92" i="3"/>
  <c r="L727" i="3"/>
  <c r="M458" i="3"/>
  <c r="L151" i="3"/>
  <c r="M355" i="3"/>
  <c r="M620" i="3"/>
  <c r="M436" i="3"/>
  <c r="M631" i="3"/>
  <c r="L746" i="3"/>
  <c r="M391" i="3"/>
  <c r="M504" i="3"/>
  <c r="L419" i="3"/>
  <c r="M348" i="3"/>
  <c r="L51" i="3"/>
  <c r="L661" i="3"/>
  <c r="L24" i="3"/>
  <c r="L721" i="3"/>
  <c r="L569" i="3"/>
  <c r="L443" i="3"/>
  <c r="L496" i="3"/>
  <c r="L184" i="3"/>
  <c r="M6" i="3"/>
  <c r="L457" i="3"/>
  <c r="L600" i="3"/>
  <c r="L698" i="3"/>
  <c r="L108" i="3"/>
  <c r="M175" i="3"/>
  <c r="L353" i="3"/>
  <c r="L742" i="3"/>
  <c r="L183" i="3"/>
  <c r="L261" i="3"/>
  <c r="L551" i="3"/>
  <c r="L528" i="3"/>
  <c r="L103" i="3"/>
  <c r="L169" i="3"/>
  <c r="L104" i="3"/>
  <c r="M164" i="3"/>
  <c r="M594" i="3"/>
  <c r="M31" i="3"/>
  <c r="L279" i="3"/>
  <c r="M128" i="3"/>
  <c r="M129" i="3"/>
  <c r="L20" i="3"/>
  <c r="L407" i="3"/>
  <c r="L574" i="3"/>
  <c r="L91" i="3"/>
  <c r="M315" i="3"/>
  <c r="L733" i="3"/>
  <c r="L736" i="3"/>
  <c r="M736" i="3"/>
  <c r="L420" i="3"/>
  <c r="M373" i="3"/>
  <c r="L188" i="3"/>
  <c r="L327" i="3"/>
  <c r="L114" i="3"/>
  <c r="M21" i="3"/>
  <c r="M533" i="3"/>
  <c r="L122" i="3"/>
  <c r="L175" i="3"/>
  <c r="L289" i="3"/>
  <c r="L642" i="3"/>
  <c r="M748" i="3"/>
  <c r="L338" i="3"/>
  <c r="L747" i="3"/>
  <c r="L676" i="3"/>
  <c r="L620" i="3"/>
  <c r="M232" i="3"/>
  <c r="M479" i="3"/>
  <c r="L688" i="3"/>
  <c r="L336" i="3"/>
  <c r="M514" i="3"/>
  <c r="L25" i="3"/>
  <c r="L539" i="3"/>
  <c r="M612" i="3"/>
  <c r="M199" i="3"/>
  <c r="M460" i="3"/>
  <c r="M255" i="3"/>
  <c r="M506" i="3"/>
  <c r="L506" i="3"/>
  <c r="M593" i="3"/>
  <c r="L682" i="3"/>
  <c r="L206" i="3"/>
  <c r="M720" i="3"/>
  <c r="M438" i="3"/>
  <c r="L582" i="3"/>
  <c r="M53" i="3"/>
  <c r="L601" i="3"/>
  <c r="L505" i="3"/>
  <c r="M170" i="3"/>
  <c r="L442" i="3"/>
  <c r="M442" i="3"/>
  <c r="M566" i="3"/>
  <c r="M136" i="3"/>
  <c r="L224" i="3"/>
  <c r="L492" i="3"/>
  <c r="L10" i="3"/>
  <c r="M131" i="3"/>
  <c r="L35" i="3"/>
  <c r="L390" i="3"/>
  <c r="M497" i="3"/>
  <c r="M103" i="3"/>
  <c r="L636" i="3"/>
  <c r="M402" i="3"/>
  <c r="M254" i="3"/>
  <c r="M145" i="3"/>
  <c r="M117" i="3"/>
  <c r="L238" i="3"/>
  <c r="M447" i="3"/>
  <c r="M290" i="3"/>
  <c r="M138" i="3"/>
  <c r="L252" i="3"/>
  <c r="M370" i="3"/>
  <c r="L394" i="3"/>
  <c r="L259" i="3"/>
  <c r="L515" i="3"/>
  <c r="L544" i="3"/>
  <c r="M528" i="3"/>
  <c r="M712" i="3"/>
  <c r="M9" i="3"/>
  <c r="M43" i="3"/>
  <c r="M421" i="3"/>
  <c r="L421" i="3"/>
  <c r="M235" i="3"/>
  <c r="L235" i="3"/>
  <c r="M739" i="3"/>
  <c r="L81" i="3"/>
  <c r="L463" i="3"/>
  <c r="M463" i="3"/>
  <c r="M326" i="3"/>
  <c r="L326" i="3"/>
  <c r="L435" i="3"/>
  <c r="M435" i="3"/>
  <c r="M571" i="3"/>
  <c r="L571" i="3"/>
  <c r="L701" i="3"/>
  <c r="M701" i="3"/>
  <c r="M621" i="3"/>
  <c r="L621" i="3"/>
  <c r="L670" i="3"/>
  <c r="M670" i="3"/>
  <c r="L194" i="3"/>
  <c r="M194" i="3"/>
  <c r="M606" i="3"/>
  <c r="M734" i="3"/>
  <c r="L278" i="3"/>
  <c r="M320" i="3"/>
  <c r="L320" i="3"/>
  <c r="L697" i="3"/>
  <c r="M697" i="3"/>
  <c r="M77" i="3"/>
  <c r="L77" i="3"/>
  <c r="M576" i="3"/>
  <c r="L576" i="3"/>
  <c r="L436" i="3"/>
  <c r="M356" i="3"/>
  <c r="L356" i="3"/>
  <c r="M299" i="3"/>
  <c r="L299" i="3"/>
  <c r="M295" i="3"/>
  <c r="L295" i="3"/>
  <c r="L737" i="3"/>
  <c r="M737" i="3"/>
  <c r="M241" i="3"/>
  <c r="L241" i="3"/>
  <c r="M234" i="3"/>
  <c r="L234" i="3"/>
  <c r="L611" i="3"/>
  <c r="M611" i="3"/>
  <c r="L519" i="3"/>
  <c r="M519" i="3"/>
  <c r="M163" i="3"/>
  <c r="M269" i="3"/>
  <c r="L269" i="3"/>
  <c r="M745" i="3"/>
  <c r="L745" i="3"/>
  <c r="M116" i="3"/>
  <c r="L116" i="3"/>
  <c r="L521" i="3"/>
  <c r="M521" i="3"/>
  <c r="L384" i="3"/>
  <c r="L715" i="3"/>
  <c r="M715" i="3"/>
  <c r="M711" i="3"/>
  <c r="L711" i="3"/>
  <c r="M541" i="3"/>
  <c r="L541" i="3"/>
  <c r="M209" i="3"/>
  <c r="L209" i="3"/>
  <c r="M265" i="3"/>
  <c r="L265" i="3"/>
  <c r="L374" i="3"/>
  <c r="M374" i="3"/>
  <c r="L526" i="3"/>
  <c r="M526" i="3"/>
  <c r="L490" i="3"/>
  <c r="M490" i="3"/>
  <c r="M547" i="3"/>
  <c r="M71" i="3"/>
  <c r="M448" i="3"/>
  <c r="L448" i="3"/>
  <c r="M270" i="3"/>
  <c r="L270" i="3"/>
  <c r="M236" i="3"/>
  <c r="L236" i="3"/>
  <c r="M657" i="3"/>
  <c r="L366" i="3"/>
  <c r="M626" i="3"/>
  <c r="L626" i="3"/>
  <c r="L550" i="3"/>
  <c r="M550" i="3"/>
  <c r="L542" i="3"/>
  <c r="M542" i="3"/>
  <c r="L416" i="3"/>
  <c r="M416" i="3"/>
  <c r="L687" i="3"/>
  <c r="M687" i="3"/>
  <c r="M449" i="3"/>
  <c r="L449" i="3"/>
  <c r="M508" i="3"/>
  <c r="L508" i="3"/>
  <c r="M47" i="3"/>
  <c r="L47" i="3"/>
  <c r="M409" i="3"/>
  <c r="L409" i="3"/>
  <c r="M597" i="3"/>
  <c r="L597" i="3"/>
  <c r="M385" i="3"/>
  <c r="L385" i="3"/>
  <c r="M627" i="3"/>
  <c r="L627" i="3"/>
  <c r="L689" i="3"/>
  <c r="M689" i="3"/>
  <c r="M141" i="3"/>
  <c r="L141" i="3"/>
  <c r="M379" i="3"/>
  <c r="L379" i="3"/>
  <c r="M204" i="3"/>
  <c r="L204" i="3"/>
  <c r="M109" i="3"/>
  <c r="L109" i="3"/>
  <c r="M294" i="3"/>
  <c r="L294" i="3"/>
  <c r="M318" i="3"/>
  <c r="L318" i="3"/>
  <c r="L668" i="3"/>
  <c r="M668" i="3"/>
  <c r="M99" i="3"/>
  <c r="L99" i="3"/>
  <c r="M15" i="3"/>
  <c r="L15" i="3"/>
  <c r="M548" i="3"/>
  <c r="L548" i="3"/>
  <c r="M154" i="3"/>
  <c r="L154" i="3"/>
  <c r="L123" i="3"/>
  <c r="M123" i="3"/>
  <c r="M573" i="3"/>
  <c r="L573" i="3"/>
  <c r="M66" i="3"/>
  <c r="L66" i="3"/>
  <c r="M501" i="3"/>
  <c r="L501" i="3"/>
  <c r="M298" i="3"/>
  <c r="L298" i="3"/>
  <c r="M120" i="3"/>
  <c r="L120" i="3"/>
  <c r="M568" i="3"/>
  <c r="L568" i="3"/>
  <c r="M662" i="3"/>
  <c r="L662" i="3"/>
  <c r="M446" i="3"/>
  <c r="L446" i="3"/>
  <c r="M622" i="3"/>
  <c r="L622" i="3"/>
  <c r="L707" i="3"/>
  <c r="M707" i="3"/>
  <c r="M84" i="3"/>
  <c r="L84" i="3"/>
  <c r="M147" i="3"/>
  <c r="L147" i="3"/>
  <c r="M142" i="3"/>
  <c r="L142" i="3"/>
  <c r="M381" i="3"/>
  <c r="L381" i="3"/>
  <c r="M531" i="3"/>
  <c r="L531" i="3"/>
  <c r="L78" i="3"/>
  <c r="M78" i="3"/>
  <c r="M585" i="3"/>
  <c r="L585" i="3"/>
  <c r="M75" i="3"/>
  <c r="L75" i="3"/>
  <c r="M439" i="3"/>
  <c r="L439" i="3"/>
  <c r="L45" i="3"/>
  <c r="M45" i="3"/>
  <c r="M494" i="3"/>
  <c r="M731" i="3"/>
  <c r="L731" i="3"/>
  <c r="M732" i="3"/>
  <c r="L732" i="3"/>
  <c r="M69" i="3"/>
  <c r="L69" i="3"/>
  <c r="M185" i="3"/>
  <c r="L185" i="3"/>
  <c r="M65" i="3"/>
  <c r="L65" i="3"/>
  <c r="M430" i="3"/>
  <c r="L430" i="3"/>
  <c r="M187" i="3"/>
  <c r="L187" i="3"/>
  <c r="L605" i="3"/>
  <c r="M605" i="3"/>
  <c r="L453" i="3"/>
  <c r="M453" i="3"/>
  <c r="L493" i="3"/>
  <c r="M454" i="3"/>
  <c r="L454" i="3"/>
  <c r="M153" i="3"/>
  <c r="L153" i="3"/>
  <c r="M669" i="3"/>
  <c r="L669" i="3"/>
  <c r="M522" i="3"/>
  <c r="L522" i="3"/>
  <c r="M635" i="3"/>
  <c r="L635" i="3"/>
  <c r="M495" i="3"/>
  <c r="L495" i="3"/>
  <c r="M507" i="3"/>
  <c r="L507" i="3"/>
  <c r="L328" i="3"/>
  <c r="M328" i="3"/>
  <c r="M302" i="3"/>
  <c r="L302" i="3"/>
  <c r="M415" i="3"/>
  <c r="L415" i="3"/>
  <c r="M325" i="3"/>
  <c r="L325" i="3"/>
  <c r="M115" i="3"/>
  <c r="L115" i="3"/>
  <c r="M112" i="3"/>
  <c r="L112" i="3"/>
  <c r="M392" i="3"/>
  <c r="L392" i="3"/>
  <c r="M60" i="3"/>
  <c r="L60" i="3"/>
  <c r="M751" i="3"/>
  <c r="L751" i="3"/>
  <c r="M482" i="3"/>
  <c r="L482" i="3"/>
  <c r="L619" i="3"/>
  <c r="M619" i="3"/>
  <c r="M412" i="3"/>
  <c r="L412" i="3"/>
  <c r="L354" i="3"/>
  <c r="M354" i="3"/>
  <c r="M192" i="3"/>
  <c r="L192" i="3"/>
  <c r="M639" i="3"/>
  <c r="L639" i="3"/>
  <c r="M225" i="3"/>
  <c r="L225" i="3"/>
  <c r="M221" i="3"/>
  <c r="L221" i="3"/>
  <c r="M638" i="3"/>
  <c r="M303" i="3"/>
  <c r="L303" i="3"/>
  <c r="M634" i="3"/>
  <c r="L634" i="3"/>
  <c r="L696" i="3"/>
  <c r="M696" i="3"/>
  <c r="M125" i="3"/>
  <c r="L125" i="3"/>
  <c r="M664" i="3"/>
  <c r="L664" i="3"/>
  <c r="M577" i="3"/>
  <c r="L577" i="3"/>
  <c r="M502" i="3"/>
  <c r="L502" i="3"/>
  <c r="M615" i="3"/>
  <c r="L615" i="3"/>
  <c r="M359" i="3"/>
  <c r="L359" i="3"/>
  <c r="L350" i="3"/>
  <c r="M350" i="3"/>
  <c r="L552" i="3"/>
  <c r="M552" i="3"/>
  <c r="M450" i="3"/>
  <c r="L450" i="3"/>
  <c r="M242" i="3"/>
  <c r="L242" i="3"/>
  <c r="M361" i="3"/>
  <c r="L361" i="3"/>
  <c r="M118" i="3"/>
  <c r="L118" i="3"/>
  <c r="M710" i="3"/>
  <c r="L710" i="3"/>
  <c r="M535" i="3"/>
  <c r="L535" i="3"/>
  <c r="L264" i="3"/>
  <c r="M264" i="3"/>
  <c r="M143" i="3"/>
  <c r="L143" i="3"/>
  <c r="L629" i="3"/>
  <c r="M629" i="3"/>
  <c r="M178" i="3"/>
  <c r="L178" i="3"/>
  <c r="M683" i="3"/>
  <c r="L683" i="3"/>
  <c r="M584" i="3"/>
  <c r="L584" i="3"/>
  <c r="L228" i="3"/>
  <c r="M228" i="3"/>
  <c r="L422" i="3"/>
  <c r="M422" i="3"/>
  <c r="M441" i="3"/>
  <c r="L441" i="3"/>
  <c r="M587" i="3"/>
  <c r="L587" i="3"/>
  <c r="M703" i="3"/>
  <c r="L703" i="3"/>
  <c r="M39" i="3"/>
  <c r="L39" i="3"/>
  <c r="M344" i="3"/>
  <c r="L344" i="3"/>
  <c r="L728" i="3"/>
  <c r="M728" i="3"/>
  <c r="M608" i="3"/>
  <c r="L608" i="3"/>
  <c r="M3" i="3"/>
  <c r="L3" i="3"/>
  <c r="L633" i="3"/>
  <c r="M633" i="3"/>
  <c r="M428" i="3"/>
  <c r="L428" i="3"/>
  <c r="M637" i="3"/>
  <c r="L637" i="3"/>
  <c r="M695" i="3"/>
  <c r="L695" i="3"/>
  <c r="M62" i="3"/>
  <c r="L62" i="3"/>
  <c r="L413" i="3"/>
  <c r="M413" i="3"/>
  <c r="L716" i="3"/>
  <c r="M716" i="3"/>
  <c r="M291" i="3"/>
  <c r="L291" i="3"/>
  <c r="M13" i="3"/>
  <c r="L13" i="3"/>
  <c r="M215" i="3"/>
  <c r="L215" i="3"/>
  <c r="L275" i="3"/>
  <c r="M275" i="3"/>
  <c r="M424" i="3"/>
  <c r="L424" i="3"/>
  <c r="M130" i="3"/>
  <c r="L130" i="3"/>
  <c r="M124" i="3"/>
  <c r="L124" i="3"/>
  <c r="M722" i="3"/>
  <c r="L722" i="3"/>
  <c r="L146" i="3"/>
  <c r="M146" i="3"/>
  <c r="L510" i="3"/>
  <c r="M510" i="3"/>
  <c r="M121" i="3"/>
  <c r="L121" i="3"/>
  <c r="L685" i="3"/>
  <c r="M685" i="3"/>
  <c r="L152" i="3"/>
  <c r="M152" i="3"/>
  <c r="M82" i="3"/>
  <c r="L82" i="3"/>
  <c r="M690" i="3"/>
  <c r="L690" i="3"/>
  <c r="L691" i="3"/>
  <c r="M691" i="3"/>
  <c r="L239" i="3"/>
  <c r="M239" i="3"/>
  <c r="M330" i="3"/>
  <c r="L330" i="3"/>
  <c r="M57" i="3"/>
  <c r="L57" i="3"/>
  <c r="M173" i="3"/>
  <c r="L173" i="3"/>
  <c r="M408" i="3"/>
  <c r="L408" i="3"/>
  <c r="L616" i="3"/>
  <c r="M616" i="3"/>
  <c r="M17" i="3"/>
  <c r="L17" i="3"/>
  <c r="M161" i="3"/>
  <c r="L161" i="3"/>
  <c r="M371" i="3"/>
  <c r="L371" i="3"/>
  <c r="L106" i="3"/>
  <c r="M106" i="3"/>
  <c r="M558" i="3"/>
  <c r="L558" i="3"/>
  <c r="M193" i="3"/>
  <c r="L193" i="3"/>
  <c r="M671" i="3"/>
  <c r="L671" i="3"/>
  <c r="L286" i="3"/>
  <c r="M286" i="3"/>
  <c r="M462" i="3"/>
  <c r="L462" i="3"/>
  <c r="L223" i="3"/>
  <c r="M223" i="3"/>
  <c r="M38" i="3"/>
  <c r="L38" i="3"/>
  <c r="M484" i="3"/>
  <c r="L484" i="3"/>
  <c r="M395" i="3"/>
  <c r="L395" i="3"/>
  <c r="M433" i="3"/>
  <c r="L433" i="3"/>
  <c r="L276" i="3"/>
  <c r="M276" i="3"/>
  <c r="L455" i="3"/>
  <c r="M455" i="3"/>
  <c r="M216" i="3"/>
  <c r="L216" i="3"/>
  <c r="M694" i="3"/>
  <c r="L694" i="3"/>
  <c r="M368" i="3"/>
  <c r="L368" i="3"/>
  <c r="M245" i="3"/>
  <c r="L245" i="3"/>
  <c r="M545" i="3"/>
  <c r="L545" i="3"/>
  <c r="M11" i="3"/>
  <c r="L11" i="3"/>
  <c r="M480" i="3"/>
  <c r="L480" i="3"/>
  <c r="M425" i="3"/>
  <c r="L425" i="3"/>
  <c r="M37" i="3"/>
  <c r="L37" i="3"/>
  <c r="M96" i="3"/>
  <c r="L96" i="3"/>
  <c r="M268" i="3"/>
  <c r="L268" i="3"/>
  <c r="L572" i="3"/>
  <c r="M572" i="3"/>
  <c r="M602" i="3"/>
  <c r="L602" i="3"/>
  <c r="M469" i="3"/>
  <c r="L469" i="3"/>
  <c r="L509" i="3"/>
  <c r="M509" i="3"/>
  <c r="M49" i="3"/>
  <c r="L49" i="3"/>
  <c r="L52" i="3"/>
  <c r="M52" i="3"/>
  <c r="L87" i="3"/>
  <c r="M87" i="3"/>
  <c r="M678" i="3"/>
  <c r="L678" i="3"/>
  <c r="M498" i="3"/>
  <c r="L498" i="3"/>
  <c r="M16" i="3"/>
  <c r="L16" i="3"/>
  <c r="M645" i="3"/>
  <c r="L645" i="3"/>
  <c r="M281" i="3"/>
  <c r="L281" i="3"/>
  <c r="M518" i="3"/>
  <c r="L518" i="3"/>
  <c r="M699" i="3"/>
  <c r="L699" i="3"/>
  <c r="L189" i="3"/>
  <c r="M189" i="3"/>
  <c r="M649" i="3"/>
  <c r="L649" i="3"/>
  <c r="M102" i="3"/>
  <c r="L102" i="3"/>
  <c r="L549" i="3"/>
  <c r="M549" i="3"/>
  <c r="L546" i="3"/>
  <c r="M546" i="3"/>
  <c r="L663" i="3"/>
  <c r="M663" i="3"/>
  <c r="M247" i="3"/>
  <c r="L247" i="3"/>
  <c r="M335" i="3"/>
  <c r="L335" i="3"/>
  <c r="L481" i="3"/>
  <c r="M481" i="3"/>
  <c r="L23" i="3"/>
  <c r="M23" i="3"/>
  <c r="M527" i="3"/>
  <c r="L527" i="3"/>
  <c r="M378" i="3"/>
  <c r="L378" i="3"/>
  <c r="M190" i="3"/>
  <c r="L190" i="3"/>
  <c r="L337" i="3"/>
  <c r="M337" i="3"/>
  <c r="M32" i="3"/>
  <c r="L32" i="3"/>
  <c r="M181" i="3"/>
  <c r="L181" i="3"/>
  <c r="M624" i="3"/>
  <c r="L624" i="3"/>
  <c r="M207" i="3"/>
  <c r="L207" i="3"/>
  <c r="M74" i="3"/>
  <c r="L74" i="3"/>
  <c r="M7" i="3"/>
  <c r="L7" i="3"/>
  <c r="M70" i="3"/>
  <c r="L70" i="3"/>
  <c r="M563" i="3"/>
  <c r="L563" i="3"/>
  <c r="M101" i="3"/>
  <c r="L101" i="3"/>
  <c r="M432" i="3"/>
  <c r="L432" i="3"/>
  <c r="M741" i="3"/>
  <c r="L741" i="3"/>
  <c r="L217" i="3"/>
  <c r="M217" i="3"/>
  <c r="M725" i="3"/>
  <c r="L725" i="3"/>
  <c r="M516" i="3"/>
  <c r="L516" i="3"/>
  <c r="L213" i="3"/>
  <c r="M213" i="3"/>
  <c r="M155" i="3"/>
  <c r="L155" i="3"/>
  <c r="M693" i="3"/>
  <c r="L693" i="3"/>
  <c r="M246" i="3"/>
  <c r="L246" i="3"/>
  <c r="M334" i="3"/>
  <c r="L33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<sst xmlns="http://schemas.openxmlformats.org/spreadsheetml/2006/main" count="5321" uniqueCount="189">
  <si>
    <t>Emp ID</t>
  </si>
  <si>
    <t>Employee Name</t>
  </si>
  <si>
    <t>Department</t>
  </si>
  <si>
    <t>Date</t>
  </si>
  <si>
    <t>Status</t>
  </si>
  <si>
    <t>Login Time</t>
  </si>
  <si>
    <t>Logout Time</t>
  </si>
  <si>
    <t>Login Status</t>
  </si>
  <si>
    <t>Attendance Category</t>
  </si>
  <si>
    <t>EMP009</t>
  </si>
  <si>
    <t>Suresh Babu</t>
  </si>
  <si>
    <t>HR</t>
  </si>
  <si>
    <t>2026-01-06</t>
  </si>
  <si>
    <t>Absent</t>
  </si>
  <si>
    <t>No Login</t>
  </si>
  <si>
    <t>No Logout</t>
  </si>
  <si>
    <t>EMP028</t>
  </si>
  <si>
    <t>Naveen Raj</t>
  </si>
  <si>
    <t>IT</t>
  </si>
  <si>
    <t>Present</t>
  </si>
  <si>
    <t>08:45</t>
  </si>
  <si>
    <t>19:30</t>
  </si>
  <si>
    <t>EMP022</t>
  </si>
  <si>
    <t>Swathi Rao</t>
  </si>
  <si>
    <t>Operations</t>
  </si>
  <si>
    <t>2026-01-27</t>
  </si>
  <si>
    <t>10:05</t>
  </si>
  <si>
    <t>20:45</t>
  </si>
  <si>
    <t>EMP010</t>
  </si>
  <si>
    <t>Meena</t>
  </si>
  <si>
    <t>Finance</t>
  </si>
  <si>
    <t>2026-01-14</t>
  </si>
  <si>
    <t>08:10</t>
  </si>
  <si>
    <t>2026-01-22</t>
  </si>
  <si>
    <t>11:45</t>
  </si>
  <si>
    <t>19:10</t>
  </si>
  <si>
    <t>2026-01-20</t>
  </si>
  <si>
    <t>Work From Home</t>
  </si>
  <si>
    <t>11:20</t>
  </si>
  <si>
    <t>18:45</t>
  </si>
  <si>
    <t>EMP019</t>
  </si>
  <si>
    <t>Rohit Malhotra</t>
  </si>
  <si>
    <t>2026-01-13</t>
  </si>
  <si>
    <t>08:30</t>
  </si>
  <si>
    <t>18:30</t>
  </si>
  <si>
    <t>EMP026</t>
  </si>
  <si>
    <t>Gayathri S</t>
  </si>
  <si>
    <t>EMP016</t>
  </si>
  <si>
    <t>Kavya Menon</t>
  </si>
  <si>
    <t>2026-01-12</t>
  </si>
  <si>
    <t>17:00</t>
  </si>
  <si>
    <t>2026-01-16</t>
  </si>
  <si>
    <t>2026-01-26</t>
  </si>
  <si>
    <t>EMP008</t>
  </si>
  <si>
    <t>Divya</t>
  </si>
  <si>
    <t>2026-02-02</t>
  </si>
  <si>
    <t>10:15</t>
  </si>
  <si>
    <t>EMP007</t>
  </si>
  <si>
    <t>Karan Patel</t>
  </si>
  <si>
    <t>2026-01-21</t>
  </si>
  <si>
    <t>19:00</t>
  </si>
  <si>
    <t>EMP003</t>
  </si>
  <si>
    <t>Rahul Verma</t>
  </si>
  <si>
    <t>2026-01-02</t>
  </si>
  <si>
    <t>08:05</t>
  </si>
  <si>
    <t>18:00</t>
  </si>
  <si>
    <t>EMP027</t>
  </si>
  <si>
    <t>Ashok Kumar</t>
  </si>
  <si>
    <t>Sales</t>
  </si>
  <si>
    <t>2026-01-19</t>
  </si>
  <si>
    <t>10:45</t>
  </si>
  <si>
    <t>19:45</t>
  </si>
  <si>
    <t>EMP012</t>
  </si>
  <si>
    <t>Pooja Das</t>
  </si>
  <si>
    <t>2026-01-30</t>
  </si>
  <si>
    <t>08:15</t>
  </si>
  <si>
    <t>EMP021</t>
  </si>
  <si>
    <t>Nitin Sharma</t>
  </si>
  <si>
    <t>17:45</t>
  </si>
  <si>
    <t>EMP006</t>
  </si>
  <si>
    <t>Anjali</t>
  </si>
  <si>
    <t>2026-01-29</t>
  </si>
  <si>
    <t>EMP014</t>
  </si>
  <si>
    <t>Neha</t>
  </si>
  <si>
    <t>09:15</t>
  </si>
  <si>
    <t>16:10</t>
  </si>
  <si>
    <t>2026-01-05</t>
  </si>
  <si>
    <t>11:00</t>
  </si>
  <si>
    <t>2026-02-04</t>
  </si>
  <si>
    <t>10:00</t>
  </si>
  <si>
    <t>20:00</t>
  </si>
  <si>
    <t>EMP029</t>
  </si>
  <si>
    <t>Sanjana Roy</t>
  </si>
  <si>
    <t>10:20</t>
  </si>
  <si>
    <t>19:15</t>
  </si>
  <si>
    <t>EMP002</t>
  </si>
  <si>
    <t>Priya Sharma</t>
  </si>
  <si>
    <t>20:15</t>
  </si>
  <si>
    <t>EMP005</t>
  </si>
  <si>
    <t>Vijay</t>
  </si>
  <si>
    <t>08:00</t>
  </si>
  <si>
    <t>EMP024</t>
  </si>
  <si>
    <t>Maheswari</t>
  </si>
  <si>
    <t>2026-01-08</t>
  </si>
  <si>
    <t>10:10</t>
  </si>
  <si>
    <t>EMP023</t>
  </si>
  <si>
    <t>Harish Kumar</t>
  </si>
  <si>
    <t>18:15</t>
  </si>
  <si>
    <t>20:30</t>
  </si>
  <si>
    <t>17:15</t>
  </si>
  <si>
    <t>EMP018</t>
  </si>
  <si>
    <t>Aisha Khan</t>
  </si>
  <si>
    <t>EMP011</t>
  </si>
  <si>
    <t>Ajay Rao</t>
  </si>
  <si>
    <t>2026-02-03</t>
  </si>
  <si>
    <t>16:00</t>
  </si>
  <si>
    <t>11:15</t>
  </si>
  <si>
    <t>EMP015</t>
  </si>
  <si>
    <t>Manoj</t>
  </si>
  <si>
    <t>15:00</t>
  </si>
  <si>
    <t>EMP025</t>
  </si>
  <si>
    <t>Varun Sethi</t>
  </si>
  <si>
    <t>09:20</t>
  </si>
  <si>
    <t>20:10</t>
  </si>
  <si>
    <t>EMP004</t>
  </si>
  <si>
    <t>Sneha Reddy</t>
  </si>
  <si>
    <t>2026-01-07</t>
  </si>
  <si>
    <t>18:20</t>
  </si>
  <si>
    <t>09:30</t>
  </si>
  <si>
    <t>09:00</t>
  </si>
  <si>
    <t>EMP017</t>
  </si>
  <si>
    <t>Deepak</t>
  </si>
  <si>
    <t>11:05</t>
  </si>
  <si>
    <t>2026-01-09</t>
  </si>
  <si>
    <t>EMP020</t>
  </si>
  <si>
    <t>Lakshmi Devi</t>
  </si>
  <si>
    <t>2026-01-23</t>
  </si>
  <si>
    <t>09:05</t>
  </si>
  <si>
    <t>09:10</t>
  </si>
  <si>
    <t>2026-01-01</t>
  </si>
  <si>
    <t>09:45</t>
  </si>
  <si>
    <t>19:20</t>
  </si>
  <si>
    <t>EMP030</t>
  </si>
  <si>
    <t>Mohit Agarwal</t>
  </si>
  <si>
    <t>16:30</t>
  </si>
  <si>
    <t>2026-01-15</t>
  </si>
  <si>
    <t>15:10</t>
  </si>
  <si>
    <t>17:20</t>
  </si>
  <si>
    <t>16:45</t>
  </si>
  <si>
    <t>2026-01-28</t>
  </si>
  <si>
    <t>EMP013</t>
  </si>
  <si>
    <t>Ramesh</t>
  </si>
  <si>
    <t>10:30</t>
  </si>
  <si>
    <t>20:20</t>
  </si>
  <si>
    <t>16:20</t>
  </si>
  <si>
    <t>17:10</t>
  </si>
  <si>
    <t>17:30</t>
  </si>
  <si>
    <t>14:00</t>
  </si>
  <si>
    <t>EMP001</t>
  </si>
  <si>
    <t>Arun Kumar</t>
  </si>
  <si>
    <t>11:30</t>
  </si>
  <si>
    <t>18:10</t>
  </si>
  <si>
    <t>15:20</t>
  </si>
  <si>
    <t>08:20</t>
  </si>
  <si>
    <t>15:30</t>
  </si>
  <si>
    <t>16:15</t>
  </si>
  <si>
    <t>15:15</t>
  </si>
  <si>
    <t>11:10</t>
  </si>
  <si>
    <t>15:45</t>
  </si>
  <si>
    <t>CLEANED ATTENDANCE DATA</t>
  </si>
  <si>
    <t>Calc. Hours</t>
  </si>
  <si>
    <t>Hours Check</t>
  </si>
  <si>
    <t>Category Match</t>
  </si>
  <si>
    <t>Data Quality</t>
  </si>
  <si>
    <t>Row Labels</t>
  </si>
  <si>
    <t>Grand Total</t>
  </si>
  <si>
    <t>Attendance Count</t>
  </si>
  <si>
    <t>Count of Employee Name</t>
  </si>
  <si>
    <t>Count of Emp ID</t>
  </si>
  <si>
    <t>CLEAN</t>
  </si>
  <si>
    <t>REVIEW</t>
  </si>
  <si>
    <t>EMPLOYEE ATTENDANCE KPI DASHBOARD</t>
  </si>
  <si>
    <t>Total Records</t>
  </si>
  <si>
    <t>Avg Hours / Working Day</t>
  </si>
  <si>
    <t>Unique Employees</t>
  </si>
  <si>
    <t>Attendance Rate</t>
  </si>
  <si>
    <t>Absence Rate</t>
  </si>
  <si>
    <t>(All)</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</si>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</sst>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charset val="1"/>
    </font>
    <font>
      <b/>
      <sz val="10"/>
      <color rgb="FFFFFFFF"/>
      <name val="Calibri"/>
      <charset val="1"/>
    </font>
    <font>
      <sz val="10"/>
      <name val="Calibri"/>
      <charset val="1"/>
    </font>
    <font>
      <b/>
      <sz val="14"/>
      <color rgb="FF375623"/>
      <name val="Calibri"/>
      <charset val="1"/>
    </font>
    <font>
      <sz val="11"/>
      <color theme="1"/>
      <name val="Calibri"/>
    </font>
    <font>
      <b/>
      <sz val="16"/>
      <color rgb="FFFFFFFF"/>
      <name val="Calibri"/>
    </font>
    <font>
      <b/>
      <sz val="11"/>
      <color theme="1"/>
      <name val="Calibri"/>
    </font>
    <font>
      <b/>
      <sz val="11"/>
      <color theme="1"/>
      <name val="Calibri"/>
      <family val="2"/>
    </font>
    <font>
      <sz val="10"/>
      <name val="Calibri"/>
      <family val="2"/>
    </font>
    <font>
      <sz val="10"/>
      <color rgb="FFFFFFFF"/>
      <name val="Calibri"/>
      <family val="2"/>
    </font>
    <font>
      <sz val="11"/>
      <color theme="1"/>
      <name val="Calibri"/>
      <family val="2"/>
    </font>
    <font>
      <b/>
      <sz val="10"/>
      <name val="Calibri"/>
      <family val="2"/>
    </font>
  </fonts>
  <fills count="6">
    <fill>
      <patternFill patternType="none"/>
    </fill>
    <fill>
      <patternFill patternType="gray125"/>
    </fill>
    <fill>
      <patternFill patternType="solid">
        <fgColor rgb="FF375623"/>
        <bgColor rgb="FF595959"/>
      </patternFill>
    </fill>
    <fill>
      <patternFill patternType="solid">
        <fgColor rgb="FFFFFFFF"/>
        <bgColor indexed="64"/>
      </patternFill>
    </fill>
    <fill>
      <patternFill patternType="solid">
        <fgColor rgb="FF1F4E78"/>
        <bgColor indexed="64"/>
      </patternFill>
    </fill>
    <fill>
      <patternFill patternType="solid">
        <fgColor rgb="FFF3F8FC"/>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7">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left" vertical="center"/>
    </xf>
    <xf numFmtId="2" fontId="2" fillId="0" borderId="1" xfId="0" applyNumberFormat="1" applyFont="1" applyBorder="1" applyAlignment="1">
      <alignment horizontal="center" vertical="center"/>
    </xf>
    <xf numFmtId="0" fontId="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4" fillId="3" borderId="0" xfId="0" applyFont="1" applyFill="1"/>
    <xf numFmtId="0" fontId="0" fillId="3" borderId="0" xfId="0" applyFill="1"/>
    <xf numFmtId="0" fontId="6" fillId="5" borderId="2" xfId="0" applyFont="1" applyFill="1" applyBorder="1"/>
    <xf numFmtId="3" fontId="6" fillId="5" borderId="2" xfId="0" applyNumberFormat="1" applyFont="1" applyFill="1" applyBorder="1"/>
    <xf numFmtId="164" fontId="6" fillId="5" borderId="2" xfId="0" applyNumberFormat="1" applyFont="1" applyFill="1" applyBorder="1"/>
    <xf numFmtId="0" fontId="7" fillId="5" borderId="2" xfId="0" applyFont="1" applyFill="1" applyBorder="1"/>
    <xf numFmtId="2" fontId="6" fillId="5" borderId="2" xfId="0" applyNumberFormat="1" applyFont="1" applyFill="1" applyBorder="1"/>
    <xf numFmtId="0" fontId="0" fillId="0" borderId="2" xfId="0" applyBorder="1"/>
    <xf numFmtId="0" fontId="5" fillId="4" borderId="2" xfId="0" applyFont="1" applyFill="1" applyBorder="1" applyAlignment="1">
      <alignment horizontal="center"/>
    </xf>
    <xf numFmtId="0" fontId="0" fillId="0" borderId="3" xfId="0" applyBorder="1"/>
    <xf numFmtId="0" fontId="5" fillId="4" borderId="4" xfId="0" applyFont="1" applyFill="1" applyBorder="1" applyAlignment="1">
      <alignment horizontal="center"/>
    </xf>
    <xf numFmtId="0" fontId="0" fillId="0" borderId="4" xfId="0" applyBorder="1"/>
    <xf numFmtId="0" fontId="7" fillId="5" borderId="4" xfId="0" applyFont="1" applyFill="1" applyBorder="1"/>
    <xf numFmtId="164" fontId="6" fillId="5" borderId="4" xfId="0" applyNumberFormat="1" applyFont="1" applyFill="1" applyBorder="1"/>
    <xf numFmtId="0" fontId="8" fillId="0" borderId="1" xfId="0" applyFont="1" applyBorder="1" applyAlignment="1">
      <alignment horizontal="center" vertical="center"/>
    </xf>
    <xf numFmtId="0" fontId="9" fillId="2" borderId="1" xfId="0" applyFont="1" applyFill="1" applyBorder="1" applyAlignment="1">
      <alignment horizontal="center" vertical="center" wrapText="1"/>
    </xf>
    <xf numFmtId="0" fontId="10" fillId="0" borderId="0" xfId="0" applyFont="1"/>
    <xf numFmtId="0" fontId="11" fillId="0" borderId="1" xfId="0" applyFont="1" applyBorder="1" applyAlignment="1">
      <alignment horizontal="center" vertical="center"/>
    </xf>
    <xf numFmtId="0" fontId="3" fillId="0" borderId="0" xfId="0" applyFont="1" applyAlignment="1">
      <alignment horizontal="center"/>
    </xf>
    <xf numFmtId="0" fontId="0" fillId="0" borderId="0" xfId="0" applyNumberFormat="1"/>
  </cellXfs>
  <cellStyles count="1">
    <cellStyle name="Normal" xfId="0" builtinId="0"/>
  </cellStyles>
  <dxfs count="12">
    <dxf>
      <font>
        <color theme="9"/>
      </font>
    </dxf>
    <dxf>
      <font>
        <color rgb="FF00CC00"/>
      </font>
    </dxf>
    <dxf>
      <font>
        <color theme="9"/>
      </font>
    </dxf>
    <dxf>
      <font>
        <color theme="9"/>
      </font>
    </dxf>
    <dxf>
      <font>
        <color rgb="FF00CC00"/>
      </font>
    </dxf>
    <dxf>
      <font>
        <color theme="9"/>
      </font>
    </dxf>
    <dxf>
      <font>
        <color rgb="FF00CC00"/>
      </font>
    </dxf>
    <dxf>
      <font>
        <color rgb="FF00CC00"/>
      </font>
    </dxf>
    <dxf>
      <font>
        <color rgb="FF3366FF"/>
      </font>
    </dxf>
    <dxf>
      <font>
        <color rgb="FFFF0000"/>
      </font>
    </dxf>
    <dxf>
      <font>
        <color rgb="FF00B050"/>
      </font>
    </dxf>
    <dxf>
      <font>
        <color theme="6"/>
      </font>
    </dxf>
  </dxfs>
  <tableStyles count="0" defaultTableStyle="TableStyleMedium2" defaultPivotStyle="PivotStyleLight16"/>
  <colors>
    <indexedColors>
      <rgbColor rgb="FF000000"/>
      <rgbColor rgb="FFFFFFFF"/>
      <rgbColor rgb="FFC00000"/>
      <rgbColor rgb="FF00FF00"/>
      <rgbColor rgb="FF0000FF"/>
      <rgbColor rgb="FFF3F9F0"/>
      <rgbColor rgb="FFFF00FF"/>
      <rgbColor rgb="FF00FFFF"/>
      <rgbColor rgb="FF9C0006"/>
      <rgbColor rgb="FF008000"/>
      <rgbColor rgb="FF000080"/>
      <rgbColor rgb="FF808000"/>
      <rgbColor rgb="FF800080"/>
      <rgbColor rgb="FF008080"/>
      <rgbColor rgb="FFCCCCCC"/>
      <rgbColor rgb="FF808080"/>
      <rgbColor rgb="FF9999FF"/>
      <rgbColor rgb="FF993366"/>
      <rgbColor rgb="FFFFF8E1"/>
      <rgbColor rgb="FFE8F5E9"/>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BF3FB"/>
      <rgbColor rgb="FFD9EAD3"/>
      <rgbColor rgb="FFFFF2CC"/>
      <rgbColor rgb="FFE2EFDA"/>
      <rgbColor rgb="FFFFE7E7"/>
      <rgbColor rgb="FFFFEBEE"/>
      <rgbColor rgb="FFFFCCCC"/>
      <rgbColor rgb="FF3366FF"/>
      <rgbColor rgb="FF33CCCC"/>
      <rgbColor rgb="FF99CC00"/>
      <rgbColor rgb="FFFFCC00"/>
      <rgbColor rgb="FFFF9900"/>
      <rgbColor rgb="FFFF6600"/>
      <rgbColor rgb="FF595959"/>
      <rgbColor rgb="FF969696"/>
      <rgbColor rgb="FF1F3864"/>
      <rgbColor rgb="FF339966"/>
      <rgbColor rgb="FF003300"/>
      <rgbColor rgb="FF333300"/>
      <rgbColor rgb="FF7D4F00"/>
      <rgbColor rgb="FF993366"/>
      <rgbColor rgb="FF333399"/>
      <rgbColor rgb="FF375623"/>
      <rgbColor rgb="00003366"/>
      <rgbColor rgb="00339966"/>
      <rgbColor rgb="00003300"/>
      <rgbColor rgb="00333300"/>
      <rgbColor rgb="00993300"/>
      <rgbColor rgb="00993366"/>
      <rgbColor rgb="00333399"/>
      <rgbColor rgb="00333333"/>
    </indexedColors>
    <mruColors>
      <color rgb="FF00CC00"/>
      <color rgb="FF3366FF"/>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[Employee_Attendance.xlsx]Dept Attendance!PivotTable1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 </a:t>
            </a:r>
            <a:r>
              <a:rPr lang="en-US" sz="1400" b="1" i="0" u="none" strike="noStrike" baseline="0"/>
              <a:t>Department-wise Attendance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Attendance'!$B$3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Attendance'!$A$4:$A$9</c:f>
              <c:strCache>
                <c:ptCount val="5"/>
                <c:pt idx="0">
                  <c:v>Sales</c:v>
                </c:pt>
                <c:pt idx="1">
                  <c:v>IT</c:v>
                </c:pt>
                <c:pt idx="2">
                  <c:v>HR</c:v>
                </c:pt>
                <c:pt idx="3">
                  <c:v>Finance</c:v>
                </c:pt>
                <c:pt idx="4">
                  <c:v>Operations</c:v>
                </c:pt>
              </c:strCache>
            </c:strRef>
          </c:cat>
          <c:val>
            <c:numRef>
              <c:f>'Dept Attendance'!$B$4:$B$9</c:f>
              <c:numCache>
                <c:formatCode>General</c:formatCode>
                <c:ptCount val="5"/>
                <c:pt idx="0">
                  <c:v>225</c:v>
                </c:pt>
                <c:pt idx="1">
                  <c:v>200</c:v>
                </c:pt>
                <c:pt idx="2">
                  <c:v>150</c:v>
                </c:pt>
                <c:pt idx="3">
                  <c:v>125</c:v>
                </c:pt>
                <c:pt idx="4">
                  <c:v>50</c:v>
                </c:pt>
              </c:numCache>
            </c:numRef>
          </c:val>
          <c:extLst>
            <c:ext xmlns:c16="http://schemas.microsoft.com/office/drawing/2014/chart" uri="{C3380CC4-5D6E-409C-BE32-E72D297353CC}">
              <c16:uniqueId val="{00000000-95A5-49FF-8D33-DB2403F5B062}"/>
            </c:ext>
          </c:extLst>
        </c:ser>
        <c:dLbls>
          <c:dLblPos val="outEnd"/>
          <c:showLegendKey val="0"/>
          <c:showVal val="1"/>
          <c:showCatName val="0"/>
          <c:showSerName val="0"/>
          <c:showPercent val="0"/>
          <c:showBubbleSize val="0"/>
        </c:dLbls>
        <c:gapWidth val="50"/>
        <c:overlap val="-18"/>
        <c:axId val="573203744"/>
        <c:axId val="573206240"/>
      </c:barChart>
      <c:catAx>
        <c:axId val="57320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06240"/>
        <c:crosses val="autoZero"/>
        <c:auto val="1"/>
        <c:lblAlgn val="ctr"/>
        <c:lblOffset val="100"/>
        <c:noMultiLvlLbl val="0"/>
      </c:catAx>
      <c:valAx>
        <c:axId val="573206240"/>
        <c:scaling>
          <c:orientation val="minMax"/>
        </c:scaling>
        <c:delete val="0"/>
        <c:axPos val="l"/>
        <c:majorGridlines>
          <c:spPr>
            <a:ln w="9525" cap="flat" cmpd="sng" algn="ctr">
              <a:solidFill>
                <a:schemeClr val="bg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0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[Employee_Attendance.xlsx]Status Overview!PivotTable1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Attendance Status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w="19050">
            <a:solidFill>
              <a:schemeClr val="lt1"/>
            </a:solidFill>
          </a:ln>
          <a:effectLst/>
        </c:spPr>
        <c:dLbl>
          <c:idx val="0"/>
          <c:layout>
            <c:manualLayout>
              <c:x val="7.777777777777768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0000000000000024E-2"/>
              <c:y val="-8.796296296296297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888888888888889E-2"/>
              <c:y val="5.09259259259259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'Status Overview'!$B$3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2-F158-4FFF-8925-BEF0883ECBA3}"/>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4-F158-4FFF-8925-BEF0883ECBA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3-F158-4FFF-8925-BEF0883ECBA3}"/>
              </c:ext>
            </c:extLst>
          </c:dPt>
          <c:dLbls>
            <c:dLbl>
              <c:idx val="0"/>
              <c:layout>
                <c:manualLayout>
                  <c:x val="7.777777777777768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F158-4FFF-8925-BEF0883ECBA3}"/>
                </c:ext>
              </c:extLst>
            </c:dLbl>
            <c:dLbl>
              <c:idx val="1"/>
              <c:layout>
                <c:manualLayout>
                  <c:x val="-3.888888888888889E-2"/>
                  <c:y val="5.09259259259259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F158-4FFF-8925-BEF0883ECBA3}"/>
                </c:ext>
              </c:extLst>
            </c:dLbl>
            <c:dLbl>
              <c:idx val="2"/>
              <c:layout>
                <c:manualLayout>
                  <c:x val="-5.0000000000000024E-2"/>
                  <c:y val="-8.796296296296297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158-4FFF-8925-BEF0883ECBA3}"/>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'Status Overview'!$A$4:$A$7</c:f>
              <c:strCache>
                <c:ptCount val="3"/>
                <c:pt idx="0">
                  <c:v>Absent</c:v>
                </c:pt>
                <c:pt idx="1">
                  <c:v>Present</c:v>
                </c:pt>
                <c:pt idx="2">
                  <c:v>Work From Home</c:v>
                </c:pt>
              </c:strCache>
            </c:strRef>
          </c:cat>
          <c:val>
            <c:numRef>
              <c:f>'Status Overview'!$B$4:$B$7</c:f>
              <c:numCache>
                <c:formatCode>General</c:formatCode>
                <c:ptCount val="3"/>
                <c:pt idx="0">
                  <c:v>152</c:v>
                </c:pt>
                <c:pt idx="1">
                  <c:v>525</c:v>
                </c:pt>
                <c:pt idx="2">
                  <c:v>73</c:v>
                </c:pt>
              </c:numCache>
            </c:numRef>
          </c:val>
          <c:extLst>
            <c:ext xmlns:c16="http://schemas.microsoft.com/office/drawing/2014/chart" uri="{C3380CC4-5D6E-409C-BE32-E72D297353CC}">
              <c16:uniqueId val="{00000000-F158-4FFF-8925-BEF0883ECB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[Employee_Attendance.xlsx]Daily Trend!PivotTable2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Daily Attendance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Trend'!$B$3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'Daily Trend'!$A$4:$A$29</c:f>
              <c:strCache>
                <c:ptCount val="25"/>
                <c:pt idx="0">
                  <c:v>2026-01-01</c:v>
                </c:pt>
                <c:pt idx="1">
                  <c:v>2026-01-02</c:v>
                </c:pt>
                <c:pt idx="2">
                  <c:v>2026-01-05</c:v>
                </c:pt>
                <c:pt idx="3">
                  <c:v>2026-01-06</c:v>
                </c:pt>
                <c:pt idx="4">
                  <c:v>2026-01-07</c:v>
                </c:pt>
                <c:pt idx="5">
                  <c:v>2026-01-08</c:v>
                </c:pt>
                <c:pt idx="6">
                  <c:v>2026-01-09</c:v>
                </c:pt>
                <c:pt idx="7">
                  <c:v>2026-01-12</c:v>
                </c:pt>
                <c:pt idx="8">
                  <c:v>2026-01-13</c:v>
                </c:pt>
                <c:pt idx="9">
                  <c:v>2026-01-14</c:v>
                </c:pt>
                <c:pt idx="10">
                  <c:v>2026-01-15</c:v>
                </c:pt>
                <c:pt idx="11">
                  <c:v>2026-01-16</c:v>
                </c:pt>
                <c:pt idx="12">
                  <c:v>2026-01-19</c:v>
                </c:pt>
                <c:pt idx="13">
                  <c:v>2026-01-20</c:v>
                </c:pt>
                <c:pt idx="14">
                  <c:v>2026-01-21</c:v>
                </c:pt>
                <c:pt idx="15">
                  <c:v>2026-01-22</c:v>
                </c:pt>
                <c:pt idx="16">
                  <c:v>2026-01-23</c:v>
                </c:pt>
                <c:pt idx="17">
                  <c:v>2026-01-26</c:v>
                </c:pt>
                <c:pt idx="18">
                  <c:v>2026-01-27</c:v>
                </c:pt>
                <c:pt idx="19">
                  <c:v>2026-01-28</c:v>
                </c:pt>
                <c:pt idx="20">
                  <c:v>2026-01-29</c:v>
                </c:pt>
                <c:pt idx="21">
                  <c:v>2026-01-30</c:v>
                </c:pt>
                <c:pt idx="22">
                  <c:v>2026-02-02</c:v>
                </c:pt>
                <c:pt idx="23">
                  <c:v>2026-02-03</c:v>
                </c:pt>
                <c:pt idx="24">
                  <c:v>2026-02-04</c:v>
                </c:pt>
              </c:strCache>
            </c:strRef>
          </c:cat>
          <c:val>
            <c:numRef>
              <c:f>'Daily Trend'!$B$4:$B$29</c:f>
              <c:numCache>
                <c:formatCode>General</c:formatCode>
                <c:ptCount val="25"/>
                <c:pt idx="0">
                  <c:v>30</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pt idx="23">
                  <c:v>30</c:v>
                </c:pt>
                <c:pt idx="24">
                  <c:v>30</c:v>
                </c:pt>
              </c:numCache>
            </c:numRef>
          </c:val>
          <c:smooth val="0"/>
          <c:extLst>
            <c:ext xmlns:c16="http://schemas.microsoft.com/office/drawing/2014/chart" uri="{C3380CC4-5D6E-409C-BE32-E72D297353CC}">
              <c16:uniqueId val="{00000000-538C-451A-8A38-D8B93CB4EDE6}"/>
            </c:ext>
          </c:extLst>
        </c:ser>
        <c:dLbls>
          <c:showLegendKey val="0"/>
          <c:showVal val="0"/>
          <c:showCatName val="0"/>
          <c:showSerName val="0"/>
          <c:showPercent val="0"/>
          <c:showBubbleSize val="0"/>
        </c:dLbls>
        <c:marker val="1"/>
        <c:smooth val="0"/>
        <c:axId val="44602095"/>
        <c:axId val="44602511"/>
      </c:lineChart>
      <c:catAx>
        <c:axId val="4460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2511"/>
        <c:crosses val="autoZero"/>
        <c:auto val="1"/>
        <c:lblAlgn val="ctr"/>
        <c:lblOffset val="100"/>
        <c:tickLblSkip val="5"/>
        <c:noMultiLvlLbl val="0"/>
      </c:catAx>
      <c:valAx>
        <c:axId val="44602511"/>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[Employee_Attendance.xlsx]Data Quality!PivotTable1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Data Quality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s>
    <c:plotArea>
      <c:layout/>
      <c:barChart>
        <c:barDir val="bar"/>
        <c:grouping val="clustered"/>
        <c:varyColors val="0"/>
        <c:ser>
          <c:idx val="0"/>
          <c:order val="0"/>
          <c:tx>
            <c:strRef>
              <c:f>'Data Quality'!$B$3</c:f>
              <c:strCache>
                <c:ptCount val="1"/>
                <c:pt idx="0">
                  <c:v>Total</c:v>
                </c:pt>
              </c:strCache>
            </c:strRef>
          </c:tx>
          <c:spPr>
            <a:solidFill>
              <a:schemeClr val="accent3"/>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AB51-4AE3-9006-F3A07CF135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Quality'!$A$4:$A$6</c:f>
              <c:strCache>
                <c:ptCount val="2"/>
                <c:pt idx="0">
                  <c:v>REVIEW</c:v>
                </c:pt>
                <c:pt idx="1">
                  <c:v>CLEAN</c:v>
                </c:pt>
              </c:strCache>
            </c:strRef>
          </c:cat>
          <c:val>
            <c:numRef>
              <c:f>'Data Quality'!$B$4:$B$6</c:f>
              <c:numCache>
                <c:formatCode>General</c:formatCode>
                <c:ptCount val="2"/>
                <c:pt idx="0">
                  <c:v>152</c:v>
                </c:pt>
                <c:pt idx="1">
                  <c:v>598</c:v>
                </c:pt>
              </c:numCache>
            </c:numRef>
          </c:val>
          <c:extLst>
            <c:ext xmlns:c16="http://schemas.microsoft.com/office/drawing/2014/chart" uri="{C3380CC4-5D6E-409C-BE32-E72D297353CC}">
              <c16:uniqueId val="{00000000-AB51-4AE3-9006-F3A07CF135E6}"/>
            </c:ext>
          </c:extLst>
        </c:ser>
        <c:dLbls>
          <c:dLblPos val="outEnd"/>
          <c:showLegendKey val="0"/>
          <c:showVal val="1"/>
          <c:showCatName val="0"/>
          <c:showSerName val="0"/>
          <c:showPercent val="0"/>
          <c:showBubbleSize val="0"/>
        </c:dLbls>
        <c:gapWidth val="40"/>
        <c:axId val="551192480"/>
        <c:axId val="480241520"/>
      </c:barChart>
      <c:catAx>
        <c:axId val="55119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41520"/>
        <c:crosses val="autoZero"/>
        <c:auto val="1"/>
        <c:lblAlgn val="ctr"/>
        <c:lblOffset val="100"/>
        <c:noMultiLvlLbl val="0"/>
      </c:catAx>
      <c:valAx>
        <c:axId val="48024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9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 Status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'KPI Dashboard'!$B$22</c:f>
              <c:strCache>
                <c:ptCount val="1"/>
              </c:strCache>
            </c:strRef>
          </c:tx>
          <c:spPr>
            <a:solidFill>
              <a:schemeClr val="accent1"/>
            </a:solidFill>
            <a:ln>
              <a:noFill/>
            </a:ln>
            <a:effectLst/>
          </c:spPr>
          <c:invertIfNegative val="0"/>
          <c:cat>
            <c:numRef>
              <c:f>'KPI Dashboard'!$A$23:$A$25</c:f>
              <c:numCache>
                <c:formatCode>General</c:formatCode>
                <c:ptCount val="3"/>
              </c:numCache>
            </c:numRef>
          </c:cat>
          <c:val>
            <c:numRef>
              <c:f>'KPI Dashboard'!$B$23:$B$25</c:f>
              <c:numCache>
                <c:formatCode>General</c:formatCode>
                <c:ptCount val="3"/>
              </c:numCache>
            </c:numRef>
          </c:val>
          <c:extLst>
            <c:ext xmlns:c16="http://schemas.microsoft.com/office/drawing/2014/chart" uri="{C3380CC4-5D6E-409C-BE32-E72D297353CC}">
              <c16:uniqueId val="{00000000-0717-45C9-822A-5CACDE015419}"/>
            </c:ext>
          </c:extLst>
        </c:ser>
        <c:dLbls>
          <c:showLegendKey val="0"/>
          <c:showVal val="0"/>
          <c:showCatName val="0"/>
          <c:showSerName val="0"/>
          <c:showPercent val="0"/>
          <c:showBubbleSize val="0"/>
        </c:dLbls>
        <c:gapWidth val="182"/>
        <c:axId val="380688032"/>
        <c:axId val="380678464"/>
      </c:barChart>
      <c:catAx>
        <c:axId val="3806880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78464"/>
        <c:crosses val="autoZero"/>
        <c:auto val="1"/>
        <c:lblAlgn val="ctr"/>
        <c:lblOffset val="100"/>
        <c:noMultiLvlLbl val="0"/>
      </c:catAx>
      <c:valAx>
        <c:axId val="380678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68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[Employee_Attendance.xlsx]Dept Attendance!PivotTable1</c:name>
    <c:fmtId val="27"/>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 </a:t>
            </a:r>
            <a:r>
              <a:rPr lang="en-US" b="1"/>
              <a:t>Department-wise Attendance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 Attendance'!$B$3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Attendance'!$A$4:$A$9</c:f>
              <c:strCache>
                <c:ptCount val="5"/>
                <c:pt idx="0">
                  <c:v>Sales</c:v>
                </c:pt>
                <c:pt idx="1">
                  <c:v>IT</c:v>
                </c:pt>
                <c:pt idx="2">
                  <c:v>HR</c:v>
                </c:pt>
                <c:pt idx="3">
                  <c:v>Finance</c:v>
                </c:pt>
                <c:pt idx="4">
                  <c:v>Operations</c:v>
                </c:pt>
              </c:strCache>
            </c:strRef>
          </c:cat>
          <c:val>
            <c:numRef>
              <c:f>'Dept Attendance'!$B$4:$B$9</c:f>
              <c:numCache>
                <c:formatCode>General</c:formatCode>
                <c:ptCount val="5"/>
                <c:pt idx="0">
                  <c:v>225</c:v>
                </c:pt>
                <c:pt idx="1">
                  <c:v>200</c:v>
                </c:pt>
                <c:pt idx="2">
                  <c:v>150</c:v>
                </c:pt>
                <c:pt idx="3">
                  <c:v>125</c:v>
                </c:pt>
                <c:pt idx="4">
                  <c:v>50</c:v>
                </c:pt>
              </c:numCache>
            </c:numRef>
          </c:val>
          <c:extLst>
            <c:ext xmlns:c16="http://schemas.microsoft.com/office/drawing/2014/chart" uri="{C3380CC4-5D6E-409C-BE32-E72D297353CC}">
              <c16:uniqueId val="{00000000-4E04-454F-BC37-D0090FEBAF2A}"/>
            </c:ext>
          </c:extLst>
        </c:ser>
        <c:dLbls>
          <c:dLblPos val="outEnd"/>
          <c:showLegendKey val="0"/>
          <c:showVal val="1"/>
          <c:showCatName val="0"/>
          <c:showSerName val="0"/>
          <c:showPercent val="0"/>
          <c:showBubbleSize val="0"/>
        </c:dLbls>
        <c:gapWidth val="50"/>
        <c:overlap val="-18"/>
        <c:axId val="573203744"/>
        <c:axId val="573206240"/>
      </c:barChart>
      <c:catAx>
        <c:axId val="573203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73206240"/>
        <c:crosses val="autoZero"/>
        <c:auto val="1"/>
        <c:lblAlgn val="ctr"/>
        <c:lblOffset val="100"/>
        <c:noMultiLvlLbl val="0"/>
      </c:catAx>
      <c:valAx>
        <c:axId val="573206240"/>
        <c:scaling>
          <c:orientation val="minMax"/>
        </c:scaling>
        <c:delete val="0"/>
        <c:axPos val="l"/>
        <c:majorGridlines>
          <c:spPr>
            <a:ln w="9525"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7320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[Employee_Attendance.xlsx]Daily Trend!PivotTable2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Daily Attendance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Trend'!$B$3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'Daily Trend'!$A$4:$A$29</c:f>
              <c:strCache>
                <c:ptCount val="25"/>
                <c:pt idx="0">
                  <c:v>2026-01-01</c:v>
                </c:pt>
                <c:pt idx="1">
                  <c:v>2026-01-02</c:v>
                </c:pt>
                <c:pt idx="2">
                  <c:v>2026-01-05</c:v>
                </c:pt>
                <c:pt idx="3">
                  <c:v>2026-01-06</c:v>
                </c:pt>
                <c:pt idx="4">
                  <c:v>2026-01-07</c:v>
                </c:pt>
                <c:pt idx="5">
                  <c:v>2026-01-08</c:v>
                </c:pt>
                <c:pt idx="6">
                  <c:v>2026-01-09</c:v>
                </c:pt>
                <c:pt idx="7">
                  <c:v>2026-01-12</c:v>
                </c:pt>
                <c:pt idx="8">
                  <c:v>2026-01-13</c:v>
                </c:pt>
                <c:pt idx="9">
                  <c:v>2026-01-14</c:v>
                </c:pt>
                <c:pt idx="10">
                  <c:v>2026-01-15</c:v>
                </c:pt>
                <c:pt idx="11">
                  <c:v>2026-01-16</c:v>
                </c:pt>
                <c:pt idx="12">
                  <c:v>2026-01-19</c:v>
                </c:pt>
                <c:pt idx="13">
                  <c:v>2026-01-20</c:v>
                </c:pt>
                <c:pt idx="14">
                  <c:v>2026-01-21</c:v>
                </c:pt>
                <c:pt idx="15">
                  <c:v>2026-01-22</c:v>
                </c:pt>
                <c:pt idx="16">
                  <c:v>2026-01-23</c:v>
                </c:pt>
                <c:pt idx="17">
                  <c:v>2026-01-26</c:v>
                </c:pt>
                <c:pt idx="18">
                  <c:v>2026-01-27</c:v>
                </c:pt>
                <c:pt idx="19">
                  <c:v>2026-01-28</c:v>
                </c:pt>
                <c:pt idx="20">
                  <c:v>2026-01-29</c:v>
                </c:pt>
                <c:pt idx="21">
                  <c:v>2026-01-30</c:v>
                </c:pt>
                <c:pt idx="22">
                  <c:v>2026-02-02</c:v>
                </c:pt>
                <c:pt idx="23">
                  <c:v>2026-02-03</c:v>
                </c:pt>
                <c:pt idx="24">
                  <c:v>2026-02-04</c:v>
                </c:pt>
              </c:strCache>
            </c:strRef>
          </c:cat>
          <c:val>
            <c:numRef>
              <c:f>'Daily Trend'!$B$4:$B$29</c:f>
              <c:numCache>
                <c:formatCode>General</c:formatCode>
                <c:ptCount val="25"/>
                <c:pt idx="0">
                  <c:v>30</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pt idx="23">
                  <c:v>30</c:v>
                </c:pt>
                <c:pt idx="24">
                  <c:v>30</c:v>
                </c:pt>
              </c:numCache>
            </c:numRef>
          </c:val>
          <c:smooth val="0"/>
          <c:extLst>
            <c:ext xmlns:c16="http://schemas.microsoft.com/office/drawing/2014/chart" uri="{C3380CC4-5D6E-409C-BE32-E72D297353CC}">
              <c16:uniqueId val="{00000000-CC9B-4827-A7D5-A1C2275B7620}"/>
            </c:ext>
          </c:extLst>
        </c:ser>
        <c:dLbls>
          <c:showLegendKey val="0"/>
          <c:showVal val="0"/>
          <c:showCatName val="0"/>
          <c:showSerName val="0"/>
          <c:showPercent val="0"/>
          <c:showBubbleSize val="0"/>
        </c:dLbls>
        <c:marker val="1"/>
        <c:smooth val="0"/>
        <c:axId val="44602095"/>
        <c:axId val="44602511"/>
      </c:lineChart>
      <c:catAx>
        <c:axId val="4460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2511"/>
        <c:crosses val="autoZero"/>
        <c:auto val="1"/>
        <c:lblAlgn val="ctr"/>
        <c:lblOffset val="100"/>
        <c:tickLblSkip val="5"/>
        <c:noMultiLvlLbl val="0"/>
      </c:catAx>
      <c:valAx>
        <c:axId val="44602511"/>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02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[Employee_Attendance.xlsx]Status Overview!PivotTable1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Attendance Status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w="19050">
            <a:solidFill>
              <a:schemeClr val="lt1"/>
            </a:solidFill>
          </a:ln>
          <a:effectLst/>
        </c:spPr>
        <c:dLbl>
          <c:idx val="0"/>
          <c:layout>
            <c:manualLayout>
              <c:x val="7.777777777777768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5.0000000000000024E-2"/>
              <c:y val="-8.796296296296297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888888888888889E-2"/>
              <c:y val="5.09259259259259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w="19050">
            <a:solidFill>
              <a:schemeClr val="lt1"/>
            </a:solidFill>
          </a:ln>
          <a:effectLst/>
        </c:spPr>
        <c:dLbl>
          <c:idx val="0"/>
          <c:layout>
            <c:manualLayout>
              <c:x val="7.777777777777768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3.888888888888889E-2"/>
              <c:y val="5.09259259259259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5.0000000000000024E-2"/>
              <c:y val="-8.796296296296297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0000"/>
          </a:solidFill>
          <a:ln w="19050">
            <a:solidFill>
              <a:schemeClr val="lt1"/>
            </a:solidFill>
          </a:ln>
          <a:effectLst/>
        </c:spPr>
        <c:dLbl>
          <c:idx val="0"/>
          <c:layout>
            <c:manualLayout>
              <c:x val="7.7777777777777682E-2"/>
              <c:y val="0"/>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888888888888889E-2"/>
              <c:y val="5.0925925925925923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5.0000000000000024E-2"/>
              <c:y val="-8.796296296296297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'Status Overview'!$B$3</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D836-48D6-9675-3DBC989C60C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836-48D6-9675-3DBC989C60C1}"/>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D836-48D6-9675-3DBC989C60C1}"/>
              </c:ext>
            </c:extLst>
          </c:dPt>
          <c:dLbls>
            <c:dLbl>
              <c:idx val="0"/>
              <c:layout>
                <c:manualLayout>
                  <c:x val="7.7777777777777682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836-48D6-9675-3DBC989C60C1}"/>
                </c:ext>
              </c:extLst>
            </c:dLbl>
            <c:dLbl>
              <c:idx val="1"/>
              <c:layout>
                <c:manualLayout>
                  <c:x val="-3.888888888888889E-2"/>
                  <c:y val="5.09259259259259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36-48D6-9675-3DBC989C60C1}"/>
                </c:ext>
              </c:extLst>
            </c:dLbl>
            <c:dLbl>
              <c:idx val="2"/>
              <c:layout>
                <c:manualLayout>
                  <c:x val="-5.0000000000000024E-2"/>
                  <c:y val="-8.79629629629629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836-48D6-9675-3DBC989C60C1}"/>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'Status Overview'!$A$4:$A$7</c:f>
              <c:strCache>
                <c:ptCount val="3"/>
                <c:pt idx="0">
                  <c:v>Absent</c:v>
                </c:pt>
                <c:pt idx="1">
                  <c:v>Present</c:v>
                </c:pt>
                <c:pt idx="2">
                  <c:v>Work From Home</c:v>
                </c:pt>
              </c:strCache>
            </c:strRef>
          </c:cat>
          <c:val>
            <c:numRef>
              <c:f>'Status Overview'!$B$4:$B$7</c:f>
              <c:numCache>
                <c:formatCode>General</c:formatCode>
                <c:ptCount val="3"/>
                <c:pt idx="0">
                  <c:v>152</c:v>
                </c:pt>
                <c:pt idx="1">
                  <c:v>525</c:v>
                </c:pt>
                <c:pt idx="2">
                  <c:v>73</c:v>
                </c:pt>
              </c:numCache>
            </c:numRef>
          </c:val>
          <c:extLst>
            <c:ext xmlns:c16="http://schemas.microsoft.com/office/drawing/2014/chart" uri="{C3380CC4-5D6E-409C-BE32-E72D297353CC}">
              <c16:uniqueId val="{00000006-D836-48D6-9675-3DBC989C60C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[Employee_Attendance.xlsx]Data Quality!PivotTable1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Data Quality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s>
    <c:plotArea>
      <c:layout/>
      <c:barChart>
        <c:barDir val="bar"/>
        <c:grouping val="clustered"/>
        <c:varyColors val="0"/>
        <c:ser>
          <c:idx val="0"/>
          <c:order val="0"/>
          <c:tx>
            <c:strRef>
              <c:f>'Data Quality'!$B$3</c:f>
              <c:strCache>
                <c:ptCount val="1"/>
                <c:pt idx="0">
                  <c:v>Total</c:v>
                </c:pt>
              </c:strCache>
            </c:strRef>
          </c:tx>
          <c:spPr>
            <a:solidFill>
              <a:schemeClr val="accent3"/>
            </a:solidFill>
            <a:ln>
              <a:noFill/>
            </a:ln>
            <a:effectLst/>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7A6C-42D9-B7E8-747DB6D96A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Quality'!$A$4:$A$6</c:f>
              <c:strCache>
                <c:ptCount val="2"/>
                <c:pt idx="0">
                  <c:v>REVIEW</c:v>
                </c:pt>
                <c:pt idx="1">
                  <c:v>CLEAN</c:v>
                </c:pt>
              </c:strCache>
            </c:strRef>
          </c:cat>
          <c:val>
            <c:numRef>
              <c:f>'Data Quality'!$B$4:$B$6</c:f>
              <c:numCache>
                <c:formatCode>General</c:formatCode>
                <c:ptCount val="2"/>
                <c:pt idx="0">
                  <c:v>152</c:v>
                </c:pt>
                <c:pt idx="1">
                  <c:v>598</c:v>
                </c:pt>
              </c:numCache>
            </c:numRef>
          </c:val>
          <c:extLst>
            <c:ext xmlns:c16="http://schemas.microsoft.com/office/drawing/2014/chart" uri="{C3380CC4-5D6E-409C-BE32-E72D297353CC}">
              <c16:uniqueId val="{00000002-7A6C-42D9-B7E8-747DB6D96A4D}"/>
            </c:ext>
          </c:extLst>
        </c:ser>
        <c:dLbls>
          <c:dLblPos val="outEnd"/>
          <c:showLegendKey val="0"/>
          <c:showVal val="1"/>
          <c:showCatName val="0"/>
          <c:showSerName val="0"/>
          <c:showPercent val="0"/>
          <c:showBubbleSize val="0"/>
        </c:dLbls>
        <c:gapWidth val="40"/>
        <c:axId val="551192480"/>
        <c:axId val="480241520"/>
      </c:barChart>
      <c:catAx>
        <c:axId val="55119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241520"/>
        <c:crosses val="autoZero"/>
        <c:auto val="1"/>
        <c:lblAlgn val="ctr"/>
        <c:lblOffset val="100"/>
        <c:noMultiLvlLbl val="0"/>
      </c:catAx>
      <c:valAx>
        <c:axId val="480241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19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6.xml"/><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25400</xdr:colOff>
      <xdr:row>1</xdr:row>
      <xdr:rowOff>38100</xdr:rowOff>
    </xdr:from>
    <xdr:to>
      <xdr:col>11</xdr:col>
      <xdr:colOff>330200</xdr:colOff>
      <xdr:row>14</xdr:row>
      <xdr:rowOff>133350</xdr:rowOff>
    </xdr:to>
    <xdr:graphicFrame macro="">
      <xdr:nvGraphicFramePr>
        <xdr:cNvPr id="2" name="Chart 1">
          <a:extLst>
            <a:ext uri="{FF2B5EF4-FFF2-40B4-BE49-F238E27FC236}">
              <a16:creationId xmlns:a16="http://schemas.microsoft.com/office/drawing/2014/main" id="{351AA6F0-3A50-42C2-A063-FEED450C6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82550</xdr:colOff>
      <xdr:row>0</xdr:row>
      <xdr:rowOff>165100</xdr:rowOff>
    </xdr:from>
    <xdr:to>
      <xdr:col>11</xdr:col>
      <xdr:colOff>387350</xdr:colOff>
      <xdr:row>15</xdr:row>
      <xdr:rowOff>146050</xdr:rowOff>
    </xdr:to>
    <xdr:graphicFrame macro="">
      <xdr:nvGraphicFramePr>
        <xdr:cNvPr id="9" name="Chart 8">
          <a:extLst>
            <a:ext uri="{FF2B5EF4-FFF2-40B4-BE49-F238E27FC236}">
              <a16:creationId xmlns:a16="http://schemas.microsoft.com/office/drawing/2014/main" id="{B223A355-CB00-4054-B553-85980460B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304800</xdr:colOff>
      <xdr:row>1</xdr:row>
      <xdr:rowOff>82550</xdr:rowOff>
    </xdr:from>
    <xdr:to>
      <xdr:col>15</xdr:col>
      <xdr:colOff>304800</xdr:colOff>
      <xdr:row>21</xdr:row>
      <xdr:rowOff>57150</xdr:rowOff>
    </xdr:to>
    <xdr:graphicFrame macro="">
      <xdr:nvGraphicFramePr>
        <xdr:cNvPr id="5" name="Chart 4">
          <a:extLst>
            <a:ext uri="{FF2B5EF4-FFF2-40B4-BE49-F238E27FC236}">
              <a16:creationId xmlns:a16="http://schemas.microsoft.com/office/drawing/2014/main" id="{8748C975-F387-4F97-B470-C4F865E22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336550</xdr:colOff>
      <xdr:row>1</xdr:row>
      <xdr:rowOff>25400</xdr:rowOff>
    </xdr:from>
    <xdr:to>
      <xdr:col>11</xdr:col>
      <xdr:colOff>31750</xdr:colOff>
      <xdr:row>16</xdr:row>
      <xdr:rowOff>6350</xdr:rowOff>
    </xdr:to>
    <xdr:graphicFrame macro="">
      <xdr:nvGraphicFramePr>
        <xdr:cNvPr id="2" name="Chart 1">
          <a:extLst>
            <a:ext uri="{FF2B5EF4-FFF2-40B4-BE49-F238E27FC236}">
              <a16:creationId xmlns:a16="http://schemas.microsoft.com/office/drawing/2014/main" id="{0CBDFB10-3523-452D-9CAF-7AD3397820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21</xdr:row>
      <xdr:rowOff>0</xdr:rowOff>
    </xdr:from>
    <xdr:to>
      <xdr:col>12</xdr:col>
      <xdr:colOff>0</xdr:colOff>
      <xdr:row>30</xdr:row>
      <xdr:rowOff>0</xdr:rowOff>
    </xdr:to>
    <xdr:graphicFrame macro="">
      <xdr:nvGraphicFramePr>
        <xdr:cNvPr id="4" name="Status_Mix_Chart">
          <a:extLst>
            <a:ext uri="{FF2B5EF4-FFF2-40B4-BE49-F238E27FC236}">
              <a16:creationId xmlns:a16="http://schemas.microsoft.com/office/drawing/2014/main" id="{32CACE0F-6A79-4A14-8164-11F35D700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152400</xdr:colOff>
      <xdr:row>0</xdr:row>
      <xdr:rowOff>19050</xdr:rowOff>
    </xdr:from>
    <xdr:to>
      <xdr:col>20</xdr:col>
      <xdr:colOff>139700</xdr:colOff>
      <xdr:row>5</xdr:row>
      <xdr:rowOff>44450</xdr:rowOff>
    </xdr:to>
    <xdr:sp macro="" textlink="">
      <xdr:nvSpPr>
        <xdr:cNvPr id="3" name="Rectangle: Rounded Corners 2">
          <a:extLst>
            <a:ext uri="{FF2B5EF4-FFF2-40B4-BE49-F238E27FC236}">
              <a16:creationId xmlns:a16="http://schemas.microsoft.com/office/drawing/2014/main" id="{F45844C4-442E-4E59-BAE3-8E5BC97CA30D}"/>
            </a:ext>
          </a:extLst>
        </xdr:cNvPr>
        <xdr:cNvSpPr/>
      </xdr:nvSpPr>
      <xdr:spPr>
        <a:xfrm>
          <a:off x="1371600" y="19050"/>
          <a:ext cx="10960100" cy="946150"/>
        </a:xfrm>
        <a:prstGeom prst="roundRect">
          <a:avLst/>
        </a:prstGeom>
        <a:solidFill>
          <a:schemeClr val="accent3"/>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25400</xdr:rowOff>
    </xdr:from>
    <xdr:to>
      <xdr:col>1</xdr:col>
      <xdr:colOff>600000</xdr:colOff>
      <xdr:row>4</xdr:row>
      <xdr:rowOff>109600</xdr:rowOff>
    </xdr:to>
    <xdr:sp macro="" textlink="">
      <xdr:nvSpPr>
        <xdr:cNvPr id="5" name="Rectangle: Rounded Corners 4">
          <a:extLst>
            <a:ext uri="{FF2B5EF4-FFF2-40B4-BE49-F238E27FC236}">
              <a16:creationId xmlns:a16="http://schemas.microsoft.com/office/drawing/2014/main" id="{769789D0-E0FC-43BC-BE12-B0614984CA23}"/>
            </a:ext>
          </a:extLst>
        </xdr:cNvPr>
        <xdr:cNvSpPr/>
      </xdr:nvSpPr>
      <xdr:spPr>
        <a:xfrm>
          <a:off x="0" y="25400"/>
          <a:ext cx="1209600" cy="820800"/>
        </a:xfrm>
        <a:prstGeom prst="roundRect">
          <a:avLst/>
        </a:prstGeom>
        <a:solidFill>
          <a:schemeClr val="accent1">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5</xdr:row>
      <xdr:rowOff>152400</xdr:rowOff>
    </xdr:from>
    <xdr:to>
      <xdr:col>12</xdr:col>
      <xdr:colOff>546100</xdr:colOff>
      <xdr:row>11</xdr:row>
      <xdr:rowOff>158750</xdr:rowOff>
    </xdr:to>
    <xdr:sp macro="" textlink="">
      <xdr:nvSpPr>
        <xdr:cNvPr id="10" name="Rectangle: Rounded Corners 9">
          <a:extLst>
            <a:ext uri="{FF2B5EF4-FFF2-40B4-BE49-F238E27FC236}">
              <a16:creationId xmlns:a16="http://schemas.microsoft.com/office/drawing/2014/main" id="{FC016872-6929-434B-A89C-D7BED23F78C2}"/>
            </a:ext>
          </a:extLst>
        </xdr:cNvPr>
        <xdr:cNvSpPr/>
      </xdr:nvSpPr>
      <xdr:spPr>
        <a:xfrm>
          <a:off x="5772150" y="1073150"/>
          <a:ext cx="2089150" cy="1111250"/>
        </a:xfrm>
        <a:prstGeom prst="roundRect">
          <a:avLst/>
        </a:prstGeom>
        <a:solidFill>
          <a:schemeClr val="accent3">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tx1"/>
              </a:solidFill>
              <a:effectLst/>
              <a:latin typeface="+mn-lt"/>
              <a:ea typeface="+mn-ea"/>
              <a:cs typeface="+mn-cs"/>
            </a:rPr>
            <a:t>OVERALL </a:t>
          </a:r>
          <a:endParaRPr lang="en-US" sz="900" b="1">
            <a:solidFill>
              <a:schemeClr val="tx1"/>
            </a:solidFill>
            <a:effectLst/>
          </a:endParaRPr>
        </a:p>
        <a:p>
          <a:pPr algn="ctr"/>
          <a:r>
            <a:rPr lang="en-US" sz="900" b="1">
              <a:solidFill>
                <a:schemeClr val="tx1"/>
              </a:solidFill>
              <a:effectLst/>
              <a:latin typeface="+mn-lt"/>
              <a:ea typeface="+mn-ea"/>
              <a:cs typeface="+mn-cs"/>
            </a:rPr>
            <a:t>ATTENDANCE %</a:t>
          </a:r>
          <a:endParaRPr lang="en-US" sz="900" b="1">
            <a:solidFill>
              <a:schemeClr val="tx1"/>
            </a:solidFill>
            <a:effectLst/>
          </a:endParaRPr>
        </a:p>
        <a:p>
          <a:pPr algn="l"/>
          <a:endParaRPr lang="en-US" sz="1100"/>
        </a:p>
        <a:p>
          <a:pPr algn="l"/>
          <a:endParaRPr lang="en-US" sz="1100"/>
        </a:p>
      </xdr:txBody>
    </xdr:sp>
    <xdr:clientData/>
  </xdr:twoCellAnchor>
  <xdr:twoCellAnchor>
    <xdr:from>
      <xdr:col>5</xdr:col>
      <xdr:colOff>552450</xdr:colOff>
      <xdr:row>5</xdr:row>
      <xdr:rowOff>171450</xdr:rowOff>
    </xdr:from>
    <xdr:to>
      <xdr:col>9</xdr:col>
      <xdr:colOff>139700</xdr:colOff>
      <xdr:row>11</xdr:row>
      <xdr:rowOff>158750</xdr:rowOff>
    </xdr:to>
    <xdr:sp macro="" textlink="">
      <xdr:nvSpPr>
        <xdr:cNvPr id="11" name="Rectangle: Rounded Corners 10">
          <a:extLst>
            <a:ext uri="{FF2B5EF4-FFF2-40B4-BE49-F238E27FC236}">
              <a16:creationId xmlns:a16="http://schemas.microsoft.com/office/drawing/2014/main" id="{DDAD59C7-FF08-4E22-BECE-02CFED1B38E2}"/>
            </a:ext>
          </a:extLst>
        </xdr:cNvPr>
        <xdr:cNvSpPr/>
      </xdr:nvSpPr>
      <xdr:spPr>
        <a:xfrm>
          <a:off x="3600450" y="1092200"/>
          <a:ext cx="2025650" cy="1092200"/>
        </a:xfrm>
        <a:prstGeom prst="roundRect">
          <a:avLst/>
        </a:prstGeom>
        <a:solidFill>
          <a:schemeClr val="accent3">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tx1"/>
              </a:solidFill>
              <a:effectLst/>
              <a:latin typeface="+mn-lt"/>
              <a:ea typeface="+mn-ea"/>
              <a:cs typeface="+mn-cs"/>
            </a:rPr>
            <a:t>TOTAL ATTENDANCE </a:t>
          </a:r>
          <a:endParaRPr lang="en-US" sz="900" b="1">
            <a:solidFill>
              <a:schemeClr val="tx1"/>
            </a:solidFill>
            <a:effectLst/>
          </a:endParaRPr>
        </a:p>
        <a:p>
          <a:pPr algn="ctr"/>
          <a:r>
            <a:rPr lang="en-US" sz="900" b="1">
              <a:solidFill>
                <a:schemeClr val="tx1"/>
              </a:solidFill>
              <a:effectLst/>
              <a:latin typeface="+mn-lt"/>
              <a:ea typeface="+mn-ea"/>
              <a:cs typeface="+mn-cs"/>
            </a:rPr>
            <a:t>RECORDS</a:t>
          </a:r>
          <a:endParaRPr lang="en-US" sz="900" b="1">
            <a:solidFill>
              <a:schemeClr val="tx1"/>
            </a:solidFill>
            <a:effectLst/>
          </a:endParaRPr>
        </a:p>
        <a:p>
          <a:pPr algn="l"/>
          <a:endParaRPr lang="en-US" sz="1100"/>
        </a:p>
      </xdr:txBody>
    </xdr:sp>
    <xdr:clientData/>
  </xdr:twoCellAnchor>
  <xdr:twoCellAnchor>
    <xdr:from>
      <xdr:col>16</xdr:col>
      <xdr:colOff>527050</xdr:colOff>
      <xdr:row>6</xdr:row>
      <xdr:rowOff>31750</xdr:rowOff>
    </xdr:from>
    <xdr:to>
      <xdr:col>20</xdr:col>
      <xdr:colOff>114300</xdr:colOff>
      <xdr:row>11</xdr:row>
      <xdr:rowOff>146050</xdr:rowOff>
    </xdr:to>
    <xdr:sp macro="" textlink="">
      <xdr:nvSpPr>
        <xdr:cNvPr id="12" name="Rectangle: Rounded Corners 11">
          <a:extLst>
            <a:ext uri="{FF2B5EF4-FFF2-40B4-BE49-F238E27FC236}">
              <a16:creationId xmlns:a16="http://schemas.microsoft.com/office/drawing/2014/main" id="{FEFE7191-5AE6-4456-A27E-3C09AABF998E}"/>
            </a:ext>
          </a:extLst>
        </xdr:cNvPr>
        <xdr:cNvSpPr/>
      </xdr:nvSpPr>
      <xdr:spPr>
        <a:xfrm>
          <a:off x="10280650" y="1136650"/>
          <a:ext cx="2025650" cy="1035050"/>
        </a:xfrm>
        <a:prstGeom prst="roundRect">
          <a:avLst/>
        </a:prstGeom>
        <a:solidFill>
          <a:schemeClr val="accent3">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Avg Hours / Working Day</a:t>
          </a:r>
        </a:p>
      </xdr:txBody>
    </xdr:sp>
    <xdr:clientData/>
  </xdr:twoCellAnchor>
  <xdr:twoCellAnchor>
    <xdr:from>
      <xdr:col>13</xdr:col>
      <xdr:colOff>38100</xdr:colOff>
      <xdr:row>5</xdr:row>
      <xdr:rowOff>165100</xdr:rowOff>
    </xdr:from>
    <xdr:to>
      <xdr:col>16</xdr:col>
      <xdr:colOff>444500</xdr:colOff>
      <xdr:row>11</xdr:row>
      <xdr:rowOff>171450</xdr:rowOff>
    </xdr:to>
    <xdr:sp macro="" textlink="">
      <xdr:nvSpPr>
        <xdr:cNvPr id="13" name="Rectangle: Rounded Corners 12">
          <a:extLst>
            <a:ext uri="{FF2B5EF4-FFF2-40B4-BE49-F238E27FC236}">
              <a16:creationId xmlns:a16="http://schemas.microsoft.com/office/drawing/2014/main" id="{9D3C5EF4-F3CF-4F43-9DF2-3BA85C12AA36}"/>
            </a:ext>
          </a:extLst>
        </xdr:cNvPr>
        <xdr:cNvSpPr/>
      </xdr:nvSpPr>
      <xdr:spPr>
        <a:xfrm>
          <a:off x="7962900" y="1085850"/>
          <a:ext cx="2235200" cy="1111250"/>
        </a:xfrm>
        <a:prstGeom prst="roundRect">
          <a:avLst/>
        </a:prstGeom>
        <a:solidFill>
          <a:schemeClr val="accent3">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Absence Rate</a:t>
          </a:r>
        </a:p>
      </xdr:txBody>
    </xdr:sp>
    <xdr:clientData/>
  </xdr:twoCellAnchor>
  <xdr:twoCellAnchor>
    <xdr:from>
      <xdr:col>2</xdr:col>
      <xdr:colOff>277061</xdr:colOff>
      <xdr:row>6</xdr:row>
      <xdr:rowOff>0</xdr:rowOff>
    </xdr:from>
    <xdr:to>
      <xdr:col>5</xdr:col>
      <xdr:colOff>473911</xdr:colOff>
      <xdr:row>11</xdr:row>
      <xdr:rowOff>146050</xdr:rowOff>
    </xdr:to>
    <xdr:sp macro="" textlink="">
      <xdr:nvSpPr>
        <xdr:cNvPr id="14" name="Rectangle: Rounded Corners 13">
          <a:extLst>
            <a:ext uri="{FF2B5EF4-FFF2-40B4-BE49-F238E27FC236}">
              <a16:creationId xmlns:a16="http://schemas.microsoft.com/office/drawing/2014/main" id="{BC33C8EA-B8D3-4A63-85D9-D41CE006790E}"/>
            </a:ext>
          </a:extLst>
        </xdr:cNvPr>
        <xdr:cNvSpPr/>
      </xdr:nvSpPr>
      <xdr:spPr>
        <a:xfrm>
          <a:off x="1480219" y="1102895"/>
          <a:ext cx="2001587" cy="1065129"/>
        </a:xfrm>
        <a:prstGeom prst="roundRect">
          <a:avLst/>
        </a:prstGeom>
        <a:solidFill>
          <a:schemeClr val="accent3">
            <a:lumMod val="40000"/>
            <a:lumOff val="60000"/>
          </a:schemeClr>
        </a:solidFill>
        <a:ln w="12700">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b="1">
              <a:solidFill>
                <a:schemeClr val="tx1"/>
              </a:solidFill>
            </a:rPr>
            <a:t>TOTAL EMPLOYEE ATTENDANCE</a:t>
          </a:r>
        </a:p>
      </xdr:txBody>
    </xdr:sp>
    <xdr:clientData/>
  </xdr:twoCellAnchor>
  <xdr:twoCellAnchor editAs="oneCell">
    <xdr:from>
      <xdr:col>0</xdr:col>
      <xdr:colOff>0</xdr:colOff>
      <xdr:row>0</xdr:row>
      <xdr:rowOff>0</xdr:rowOff>
    </xdr:from>
    <xdr:to>
      <xdr:col>2</xdr:col>
      <xdr:colOff>127000</xdr:colOff>
      <xdr:row>5</xdr:row>
      <xdr:rowOff>26182</xdr:rowOff>
    </xdr:to>
    <xdr:pic>
      <xdr:nvPicPr>
        <xdr:cNvPr id="16" name="Picture 15">
          <a:extLst>
            <a:ext uri="{FF2B5EF4-FFF2-40B4-BE49-F238E27FC236}">
              <a16:creationId xmlns:a16="http://schemas.microsoft.com/office/drawing/2014/main" id="{62D5C3C4-35AE-4D38-984B-92CF0DBB5D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6200" cy="946932"/>
        </a:xfrm>
        <a:prstGeom prst="rect">
          <a:avLst/>
        </a:prstGeom>
      </xdr:spPr>
    </xdr:pic>
    <xdr:clientData/>
  </xdr:twoCellAnchor>
  <xdr:twoCellAnchor>
    <xdr:from>
      <xdr:col>4</xdr:col>
      <xdr:colOff>146050</xdr:colOff>
      <xdr:row>1</xdr:row>
      <xdr:rowOff>19050</xdr:rowOff>
    </xdr:from>
    <xdr:to>
      <xdr:col>18</xdr:col>
      <xdr:colOff>38100</xdr:colOff>
      <xdr:row>3</xdr:row>
      <xdr:rowOff>139700</xdr:rowOff>
    </xdr:to>
    <xdr:sp macro="" textlink="">
      <xdr:nvSpPr>
        <xdr:cNvPr id="17" name="Rectangle: Rounded Corners 16">
          <a:extLst>
            <a:ext uri="{FF2B5EF4-FFF2-40B4-BE49-F238E27FC236}">
              <a16:creationId xmlns:a16="http://schemas.microsoft.com/office/drawing/2014/main" id="{082AB3B0-BEBA-4A0D-A3D5-F4FCE4ADF7B5}"/>
            </a:ext>
          </a:extLst>
        </xdr:cNvPr>
        <xdr:cNvSpPr/>
      </xdr:nvSpPr>
      <xdr:spPr>
        <a:xfrm>
          <a:off x="2584450" y="203200"/>
          <a:ext cx="8426450" cy="488950"/>
        </a:xfrm>
        <a:prstGeom prst="roundRect">
          <a:avLst/>
        </a:prstGeom>
        <a:solidFill>
          <a:schemeClr val="accent3"/>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b="1">
              <a:solidFill>
                <a:schemeClr val="bg1"/>
              </a:solidFill>
            </a:rPr>
            <a:t>EMPLOYEE ATTENDANCE DASHBOARD</a:t>
          </a:r>
        </a:p>
      </xdr:txBody>
    </xdr:sp>
    <xdr:clientData/>
  </xdr:twoCellAnchor>
  <xdr:twoCellAnchor editAs="oneCell">
    <xdr:from>
      <xdr:col>6</xdr:col>
      <xdr:colOff>355600</xdr:colOff>
      <xdr:row>1</xdr:row>
      <xdr:rowOff>101600</xdr:rowOff>
    </xdr:from>
    <xdr:to>
      <xdr:col>7</xdr:col>
      <xdr:colOff>95250</xdr:colOff>
      <xdr:row>3</xdr:row>
      <xdr:rowOff>82550</xdr:rowOff>
    </xdr:to>
    <xdr:pic>
      <xdr:nvPicPr>
        <xdr:cNvPr id="19" name="Graphic 18" descr="Call center with solid fill">
          <a:extLst>
            <a:ext uri="{FF2B5EF4-FFF2-40B4-BE49-F238E27FC236}">
              <a16:creationId xmlns:a16="http://schemas.microsoft.com/office/drawing/2014/main" id="{7210792D-4A7F-47D2-B2E5-BF98E9EB4C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013200" y="285750"/>
          <a:ext cx="349250" cy="349250"/>
        </a:xfrm>
        <a:prstGeom prst="rect">
          <a:avLst/>
        </a:prstGeom>
      </xdr:spPr>
    </xdr:pic>
    <xdr:clientData/>
  </xdr:twoCellAnchor>
  <xdr:twoCellAnchor>
    <xdr:from>
      <xdr:col>2</xdr:col>
      <xdr:colOff>552450</xdr:colOff>
      <xdr:row>7</xdr:row>
      <xdr:rowOff>177800</xdr:rowOff>
    </xdr:from>
    <xdr:to>
      <xdr:col>5</xdr:col>
      <xdr:colOff>25400</xdr:colOff>
      <xdr:row>9</xdr:row>
      <xdr:rowOff>146050</xdr:rowOff>
    </xdr:to>
    <xdr:sp macro="" textlink="'KPI Dashboard'!B4">
      <xdr:nvSpPr>
        <xdr:cNvPr id="20" name="Rectangle: Rounded Corners 19">
          <a:extLst>
            <a:ext uri="{FF2B5EF4-FFF2-40B4-BE49-F238E27FC236}">
              <a16:creationId xmlns:a16="http://schemas.microsoft.com/office/drawing/2014/main" id="{E5437DF7-7057-40B0-9FA4-FC5736307D3A}"/>
            </a:ext>
          </a:extLst>
        </xdr:cNvPr>
        <xdr:cNvSpPr/>
      </xdr:nvSpPr>
      <xdr:spPr>
        <a:xfrm>
          <a:off x="1771650" y="1466850"/>
          <a:ext cx="1301750" cy="336550"/>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8DCC0A4-5F63-4BA0-A88F-E6873E870AC1}" type="TxLink">
            <a:rPr lang="en-US" sz="1600" b="1" i="0" u="none" strike="noStrike">
              <a:solidFill>
                <a:schemeClr val="tx1"/>
              </a:solidFill>
              <a:latin typeface="Calibri"/>
              <a:ea typeface="Calibri"/>
              <a:cs typeface="Calibri"/>
            </a:rPr>
            <a:pPr algn="ctr"/>
            <a:t>30</a:t>
          </a:fld>
          <a:endParaRPr lang="en-US" sz="1600">
            <a:solidFill>
              <a:schemeClr val="tx1"/>
            </a:solidFill>
          </a:endParaRPr>
        </a:p>
      </xdr:txBody>
    </xdr:sp>
    <xdr:clientData/>
  </xdr:twoCellAnchor>
  <xdr:twoCellAnchor editAs="oneCell">
    <xdr:from>
      <xdr:col>3</xdr:col>
      <xdr:colOff>171450</xdr:colOff>
      <xdr:row>8</xdr:row>
      <xdr:rowOff>25400</xdr:rowOff>
    </xdr:from>
    <xdr:to>
      <xdr:col>3</xdr:col>
      <xdr:colOff>495300</xdr:colOff>
      <xdr:row>9</xdr:row>
      <xdr:rowOff>165100</xdr:rowOff>
    </xdr:to>
    <xdr:pic>
      <xdr:nvPicPr>
        <xdr:cNvPr id="22" name="Graphic 21" descr="Customer review with solid fill">
          <a:extLst>
            <a:ext uri="{FF2B5EF4-FFF2-40B4-BE49-F238E27FC236}">
              <a16:creationId xmlns:a16="http://schemas.microsoft.com/office/drawing/2014/main" id="{80464F25-1044-416B-82B8-07EE53F28BB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000250" y="1498600"/>
          <a:ext cx="323850" cy="323850"/>
        </a:xfrm>
        <a:prstGeom prst="rect">
          <a:avLst/>
        </a:prstGeom>
      </xdr:spPr>
    </xdr:pic>
    <xdr:clientData/>
  </xdr:twoCellAnchor>
  <xdr:twoCellAnchor>
    <xdr:from>
      <xdr:col>6</xdr:col>
      <xdr:colOff>488950</xdr:colOff>
      <xdr:row>8</xdr:row>
      <xdr:rowOff>50800</xdr:rowOff>
    </xdr:from>
    <xdr:to>
      <xdr:col>8</xdr:col>
      <xdr:colOff>355600</xdr:colOff>
      <xdr:row>9</xdr:row>
      <xdr:rowOff>152400</xdr:rowOff>
    </xdr:to>
    <xdr:sp macro="" textlink="'KPI Dashboard'!B3">
      <xdr:nvSpPr>
        <xdr:cNvPr id="23" name="Rectangle: Rounded Corners 22">
          <a:extLst>
            <a:ext uri="{FF2B5EF4-FFF2-40B4-BE49-F238E27FC236}">
              <a16:creationId xmlns:a16="http://schemas.microsoft.com/office/drawing/2014/main" id="{58F4430F-C56D-430C-BAC9-D3230B3ECC91}"/>
            </a:ext>
          </a:extLst>
        </xdr:cNvPr>
        <xdr:cNvSpPr/>
      </xdr:nvSpPr>
      <xdr:spPr>
        <a:xfrm>
          <a:off x="4146550" y="1524000"/>
          <a:ext cx="1085850" cy="285750"/>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564893A-0E1A-4C9F-84AC-EB66BD8BF6A5}" type="TxLink">
            <a:rPr lang="en-US" sz="1600" b="1" i="0" u="none" strike="noStrike">
              <a:solidFill>
                <a:schemeClr val="tx1"/>
              </a:solidFill>
              <a:latin typeface="Calibri"/>
              <a:ea typeface="Calibri"/>
              <a:cs typeface="Calibri"/>
            </a:rPr>
            <a:pPr algn="ctr"/>
            <a:t>750</a:t>
          </a:fld>
          <a:endParaRPr lang="en-US" sz="1600">
            <a:solidFill>
              <a:schemeClr val="tx1"/>
            </a:solidFill>
          </a:endParaRPr>
        </a:p>
      </xdr:txBody>
    </xdr:sp>
    <xdr:clientData/>
  </xdr:twoCellAnchor>
  <xdr:twoCellAnchor editAs="oneCell">
    <xdr:from>
      <xdr:col>6</xdr:col>
      <xdr:colOff>584200</xdr:colOff>
      <xdr:row>8</xdr:row>
      <xdr:rowOff>44450</xdr:rowOff>
    </xdr:from>
    <xdr:to>
      <xdr:col>7</xdr:col>
      <xdr:colOff>279400</xdr:colOff>
      <xdr:row>9</xdr:row>
      <xdr:rowOff>165100</xdr:rowOff>
    </xdr:to>
    <xdr:pic>
      <xdr:nvPicPr>
        <xdr:cNvPr id="25" name="Graphic 24" descr="Beaker with solid fill">
          <a:extLst>
            <a:ext uri="{FF2B5EF4-FFF2-40B4-BE49-F238E27FC236}">
              <a16:creationId xmlns:a16="http://schemas.microsoft.com/office/drawing/2014/main" id="{2ACDA5A2-5D76-4975-8ACB-7DD5176841F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241800" y="1517650"/>
          <a:ext cx="304800" cy="304800"/>
        </a:xfrm>
        <a:prstGeom prst="rect">
          <a:avLst/>
        </a:prstGeom>
      </xdr:spPr>
    </xdr:pic>
    <xdr:clientData/>
  </xdr:twoCellAnchor>
  <xdr:twoCellAnchor>
    <xdr:from>
      <xdr:col>10</xdr:col>
      <xdr:colOff>311150</xdr:colOff>
      <xdr:row>8</xdr:row>
      <xdr:rowOff>63500</xdr:rowOff>
    </xdr:from>
    <xdr:to>
      <xdr:col>12</xdr:col>
      <xdr:colOff>190500</xdr:colOff>
      <xdr:row>9</xdr:row>
      <xdr:rowOff>177800</xdr:rowOff>
    </xdr:to>
    <xdr:sp macro="" textlink="'KPI Dashboard'!B5">
      <xdr:nvSpPr>
        <xdr:cNvPr id="26" name="Rectangle: Rounded Corners 25">
          <a:extLst>
            <a:ext uri="{FF2B5EF4-FFF2-40B4-BE49-F238E27FC236}">
              <a16:creationId xmlns:a16="http://schemas.microsoft.com/office/drawing/2014/main" id="{94296DFB-30DF-4FFA-B97D-A15333627E80}"/>
            </a:ext>
          </a:extLst>
        </xdr:cNvPr>
        <xdr:cNvSpPr/>
      </xdr:nvSpPr>
      <xdr:spPr>
        <a:xfrm>
          <a:off x="6407150" y="1536700"/>
          <a:ext cx="1098550" cy="298450"/>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4C92740-4DD0-44AD-B5AB-67C908DB21AF}" type="TxLink">
            <a:rPr lang="en-US" sz="1600" b="1" i="0" u="none" strike="noStrike">
              <a:solidFill>
                <a:srgbClr val="000000"/>
              </a:solidFill>
              <a:latin typeface="Calibri"/>
              <a:ea typeface="Calibri"/>
              <a:cs typeface="Calibri"/>
            </a:rPr>
            <a:pPr algn="ctr"/>
            <a:t>79.7%</a:t>
          </a:fld>
          <a:endParaRPr lang="en-US" sz="1600"/>
        </a:p>
      </xdr:txBody>
    </xdr:sp>
    <xdr:clientData/>
  </xdr:twoCellAnchor>
  <xdr:twoCellAnchor editAs="oneCell">
    <xdr:from>
      <xdr:col>10</xdr:col>
      <xdr:colOff>336550</xdr:colOff>
      <xdr:row>8</xdr:row>
      <xdr:rowOff>82550</xdr:rowOff>
    </xdr:from>
    <xdr:to>
      <xdr:col>11</xdr:col>
      <xdr:colOff>6350</xdr:colOff>
      <xdr:row>9</xdr:row>
      <xdr:rowOff>177800</xdr:rowOff>
    </xdr:to>
    <xdr:pic>
      <xdr:nvPicPr>
        <xdr:cNvPr id="28" name="Graphic 27" descr="Document with solid fill">
          <a:extLst>
            <a:ext uri="{FF2B5EF4-FFF2-40B4-BE49-F238E27FC236}">
              <a16:creationId xmlns:a16="http://schemas.microsoft.com/office/drawing/2014/main" id="{06EF57ED-2BF1-4D6F-AFFF-DD10270D2A6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432550" y="1555750"/>
          <a:ext cx="279400" cy="279400"/>
        </a:xfrm>
        <a:prstGeom prst="rect">
          <a:avLst/>
        </a:prstGeom>
      </xdr:spPr>
    </xdr:pic>
    <xdr:clientData/>
  </xdr:twoCellAnchor>
  <xdr:twoCellAnchor>
    <xdr:from>
      <xdr:col>13</xdr:col>
      <xdr:colOff>596900</xdr:colOff>
      <xdr:row>8</xdr:row>
      <xdr:rowOff>50800</xdr:rowOff>
    </xdr:from>
    <xdr:to>
      <xdr:col>15</xdr:col>
      <xdr:colOff>457200</xdr:colOff>
      <xdr:row>10</xdr:row>
      <xdr:rowOff>38100</xdr:rowOff>
    </xdr:to>
    <xdr:sp macro="" textlink="'KPI Dashboard'!B6">
      <xdr:nvSpPr>
        <xdr:cNvPr id="30" name="Rectangle: Rounded Corners 29">
          <a:extLst>
            <a:ext uri="{FF2B5EF4-FFF2-40B4-BE49-F238E27FC236}">
              <a16:creationId xmlns:a16="http://schemas.microsoft.com/office/drawing/2014/main" id="{3EB1C061-F2D5-4035-8BA8-3DDBE76C775C}"/>
            </a:ext>
          </a:extLst>
        </xdr:cNvPr>
        <xdr:cNvSpPr/>
      </xdr:nvSpPr>
      <xdr:spPr>
        <a:xfrm>
          <a:off x="8521700" y="1524000"/>
          <a:ext cx="1079500" cy="355600"/>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8140203-0360-48E0-8B80-A6D4FE0E37FE}" type="TxLink">
            <a:rPr lang="en-US" sz="1800" b="1" i="0" u="none" strike="noStrike">
              <a:solidFill>
                <a:srgbClr val="000000"/>
              </a:solidFill>
              <a:latin typeface="Calibri"/>
              <a:ea typeface="Calibri"/>
              <a:cs typeface="Calibri"/>
            </a:rPr>
            <a:pPr algn="ctr"/>
            <a:t>20.3%</a:t>
          </a:fld>
          <a:endParaRPr lang="en-US" sz="1800"/>
        </a:p>
      </xdr:txBody>
    </xdr:sp>
    <xdr:clientData/>
  </xdr:twoCellAnchor>
  <xdr:twoCellAnchor>
    <xdr:from>
      <xdr:col>17</xdr:col>
      <xdr:colOff>234950</xdr:colOff>
      <xdr:row>8</xdr:row>
      <xdr:rowOff>69850</xdr:rowOff>
    </xdr:from>
    <xdr:to>
      <xdr:col>19</xdr:col>
      <xdr:colOff>387350</xdr:colOff>
      <xdr:row>10</xdr:row>
      <xdr:rowOff>19050</xdr:rowOff>
    </xdr:to>
    <xdr:sp macro="" textlink="'KPI Dashboard'!E3">
      <xdr:nvSpPr>
        <xdr:cNvPr id="33" name="Rectangle: Rounded Corners 32">
          <a:extLst>
            <a:ext uri="{FF2B5EF4-FFF2-40B4-BE49-F238E27FC236}">
              <a16:creationId xmlns:a16="http://schemas.microsoft.com/office/drawing/2014/main" id="{D3490EA1-EEC2-4CC3-9C26-8D9A6B57A08F}"/>
            </a:ext>
          </a:extLst>
        </xdr:cNvPr>
        <xdr:cNvSpPr/>
      </xdr:nvSpPr>
      <xdr:spPr>
        <a:xfrm>
          <a:off x="10598150" y="1543050"/>
          <a:ext cx="1371600" cy="317500"/>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F382CF7-8D6E-4217-B5D5-EC9B9A8FE863}" type="TxLink">
            <a:rPr lang="en-US" sz="1800" b="1" i="0" u="none" strike="noStrike">
              <a:solidFill>
                <a:srgbClr val="000000"/>
              </a:solidFill>
              <a:latin typeface="Calibri"/>
              <a:ea typeface="Calibri"/>
              <a:cs typeface="Calibri"/>
            </a:rPr>
            <a:pPr algn="ctr"/>
            <a:t>9.37</a:t>
          </a:fld>
          <a:endParaRPr lang="en-US" sz="1800"/>
        </a:p>
      </xdr:txBody>
    </xdr:sp>
    <xdr:clientData/>
  </xdr:twoCellAnchor>
  <xdr:twoCellAnchor editAs="oneCell">
    <xdr:from>
      <xdr:col>17</xdr:col>
      <xdr:colOff>374650</xdr:colOff>
      <xdr:row>8</xdr:row>
      <xdr:rowOff>114300</xdr:rowOff>
    </xdr:from>
    <xdr:to>
      <xdr:col>18</xdr:col>
      <xdr:colOff>76200</xdr:colOff>
      <xdr:row>10</xdr:row>
      <xdr:rowOff>57150</xdr:rowOff>
    </xdr:to>
    <xdr:pic>
      <xdr:nvPicPr>
        <xdr:cNvPr id="35" name="Graphic 34" descr="Stopwatch with solid fill">
          <a:extLst>
            <a:ext uri="{FF2B5EF4-FFF2-40B4-BE49-F238E27FC236}">
              <a16:creationId xmlns:a16="http://schemas.microsoft.com/office/drawing/2014/main" id="{A5DFF7C3-88A0-4EEE-8C11-5B18BEB6A5F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0737850" y="1587500"/>
          <a:ext cx="311150" cy="311150"/>
        </a:xfrm>
        <a:prstGeom prst="rect">
          <a:avLst/>
        </a:prstGeom>
      </xdr:spPr>
    </xdr:pic>
    <xdr:clientData/>
  </xdr:twoCellAnchor>
  <xdr:twoCellAnchor>
    <xdr:from>
      <xdr:col>2</xdr:col>
      <xdr:colOff>285750</xdr:colOff>
      <xdr:row>12</xdr:row>
      <xdr:rowOff>88900</xdr:rowOff>
    </xdr:from>
    <xdr:to>
      <xdr:col>9</xdr:col>
      <xdr:colOff>19050</xdr:colOff>
      <xdr:row>25</xdr:row>
      <xdr:rowOff>139700</xdr:rowOff>
    </xdr:to>
    <xdr:graphicFrame macro="">
      <xdr:nvGraphicFramePr>
        <xdr:cNvPr id="36" name="Chart 35">
          <a:extLst>
            <a:ext uri="{FF2B5EF4-FFF2-40B4-BE49-F238E27FC236}">
              <a16:creationId xmlns:a16="http://schemas.microsoft.com/office/drawing/2014/main" id="{DBAE1370-E4A1-4882-8500-C3FA33073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107950</xdr:colOff>
      <xdr:row>12</xdr:row>
      <xdr:rowOff>69850</xdr:rowOff>
    </xdr:from>
    <xdr:to>
      <xdr:col>19</xdr:col>
      <xdr:colOff>590550</xdr:colOff>
      <xdr:row>25</xdr:row>
      <xdr:rowOff>127000</xdr:rowOff>
    </xdr:to>
    <xdr:graphicFrame macro="">
      <xdr:nvGraphicFramePr>
        <xdr:cNvPr id="37" name="Chart 36">
          <a:extLst>
            <a:ext uri="{FF2B5EF4-FFF2-40B4-BE49-F238E27FC236}">
              <a16:creationId xmlns:a16="http://schemas.microsoft.com/office/drawing/2014/main" id="{8F0FC4DE-F2A0-4730-B642-4D2899BBF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260350</xdr:colOff>
      <xdr:row>26</xdr:row>
      <xdr:rowOff>152400</xdr:rowOff>
    </xdr:from>
    <xdr:to>
      <xdr:col>8</xdr:col>
      <xdr:colOff>203200</xdr:colOff>
      <xdr:row>42</xdr:row>
      <xdr:rowOff>50800</xdr:rowOff>
    </xdr:to>
    <xdr:graphicFrame macro="">
      <xdr:nvGraphicFramePr>
        <xdr:cNvPr id="38" name="Chart 37">
          <a:extLst>
            <a:ext uri="{FF2B5EF4-FFF2-40B4-BE49-F238E27FC236}">
              <a16:creationId xmlns:a16="http://schemas.microsoft.com/office/drawing/2014/main" id="{5F90B713-17DF-4D5E-9DE3-C6AC5876C3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285750</xdr:colOff>
      <xdr:row>26</xdr:row>
      <xdr:rowOff>158750</xdr:rowOff>
    </xdr:from>
    <xdr:to>
      <xdr:col>14</xdr:col>
      <xdr:colOff>171450</xdr:colOff>
      <xdr:row>42</xdr:row>
      <xdr:rowOff>69850</xdr:rowOff>
    </xdr:to>
    <xdr:graphicFrame macro="">
      <xdr:nvGraphicFramePr>
        <xdr:cNvPr id="39" name="Chart 38">
          <a:extLst>
            <a:ext uri="{FF2B5EF4-FFF2-40B4-BE49-F238E27FC236}">
              <a16:creationId xmlns:a16="http://schemas.microsoft.com/office/drawing/2014/main" id="{3D0B9524-254A-407E-A61F-ED1E58EEC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16</xdr:row>
      <xdr:rowOff>63500</xdr:rowOff>
    </xdr:from>
    <xdr:to>
      <xdr:col>2</xdr:col>
      <xdr:colOff>215900</xdr:colOff>
      <xdr:row>23</xdr:row>
      <xdr:rowOff>31750</xdr:rowOff>
    </xdr:to>
    <mc:AlternateContent xmlns:mc="http://schemas.openxmlformats.org/markup-compatibility/2006" xmlns:a14="http://schemas.microsoft.com/office/drawing/2010/main">
      <mc:Choice Requires="a14">
        <xdr:graphicFrame macro="">
          <xdr:nvGraphicFramePr>
            <xdr:cNvPr id="41" name="Status 1">
              <a:extLst>
                <a:ext uri="{FF2B5EF4-FFF2-40B4-BE49-F238E27FC236}">
                  <a16:creationId xmlns:a16="http://schemas.microsoft.com/office/drawing/2014/main" id="{F2EF7955-130C-4DB7-B9EB-F622FD426C63}"/>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3009900"/>
              <a:ext cx="14351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584200</xdr:colOff>
      <xdr:row>8</xdr:row>
      <xdr:rowOff>107950</xdr:rowOff>
    </xdr:from>
    <xdr:to>
      <xdr:col>14</xdr:col>
      <xdr:colOff>228600</xdr:colOff>
      <xdr:row>9</xdr:row>
      <xdr:rowOff>177800</xdr:rowOff>
    </xdr:to>
    <xdr:pic>
      <xdr:nvPicPr>
        <xdr:cNvPr id="43" name="Graphic 42" descr="Warning with solid fill">
          <a:extLst>
            <a:ext uri="{FF2B5EF4-FFF2-40B4-BE49-F238E27FC236}">
              <a16:creationId xmlns:a16="http://schemas.microsoft.com/office/drawing/2014/main" id="{74C44519-4DD7-476D-AD1D-027D987A4EE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509000" y="1581150"/>
          <a:ext cx="254000" cy="254000"/>
        </a:xfrm>
        <a:prstGeom prst="rect">
          <a:avLst/>
        </a:prstGeom>
      </xdr:spPr>
    </xdr:pic>
    <xdr:clientData/>
  </xdr:twoCellAnchor>
  <xdr:twoCellAnchor editAs="oneCell">
    <xdr:from>
      <xdr:col>0</xdr:col>
      <xdr:colOff>0</xdr:colOff>
      <xdr:row>6</xdr:row>
      <xdr:rowOff>0</xdr:rowOff>
    </xdr:from>
    <xdr:to>
      <xdr:col>2</xdr:col>
      <xdr:colOff>190500</xdr:colOff>
      <xdr:row>15</xdr:row>
      <xdr:rowOff>152400</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6B058297-8624-41D4-AC2B-41D0A181613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1104900"/>
              <a:ext cx="14097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241300</xdr:colOff>
      <xdr:row>26</xdr:row>
      <xdr:rowOff>101600</xdr:rowOff>
    </xdr:from>
    <xdr:to>
      <xdr:col>20</xdr:col>
      <xdr:colOff>190500</xdr:colOff>
      <xdr:row>42</xdr:row>
      <xdr:rowOff>95250</xdr:rowOff>
    </xdr:to>
    <xdr:sp macro="" textlink="">
      <xdr:nvSpPr>
        <xdr:cNvPr id="46" name="Rectangle: Rounded Corners 45">
          <a:extLst>
            <a:ext uri="{FF2B5EF4-FFF2-40B4-BE49-F238E27FC236}">
              <a16:creationId xmlns:a16="http://schemas.microsoft.com/office/drawing/2014/main" id="{EECCD620-5BF5-460A-8556-42B6B3FAA666}"/>
            </a:ext>
          </a:extLst>
        </xdr:cNvPr>
        <xdr:cNvSpPr/>
      </xdr:nvSpPr>
      <xdr:spPr>
        <a:xfrm>
          <a:off x="8775700" y="4889500"/>
          <a:ext cx="3606800" cy="2940050"/>
        </a:xfrm>
        <a:prstGeom prst="roundRect">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Key Insights</a:t>
          </a:r>
        </a:p>
        <a:p>
          <a:pPr algn="ctr"/>
          <a:r>
            <a:rPr lang="en-US" sz="1100" b="0" i="0" u="none" strike="noStrike">
              <a:solidFill>
                <a:schemeClr val="dk1"/>
              </a:solidFill>
              <a:effectLst/>
              <a:latin typeface="+mn-lt"/>
              <a:ea typeface="+mn-ea"/>
              <a:cs typeface="+mn-cs"/>
            </a:rPr>
            <a:t>.</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r>
            <a:rPr lang="en-US" sz="1100" b="0" i="0" u="none" strike="noStrike">
              <a:solidFill>
                <a:schemeClr val="dk1"/>
              </a:solidFill>
              <a:effectLst/>
              <a:latin typeface="+mn-lt"/>
              <a:ea typeface="+mn-ea"/>
              <a:cs typeface="+mn-cs"/>
            </a:rPr>
            <a:t> </a:t>
          </a:r>
          <a:r>
            <a:rPr lang="en-US" sz="1600"/>
            <a:t> </a:t>
          </a:r>
          <a:endParaRPr lang="en-US" sz="1600" b="1"/>
        </a:p>
      </xdr:txBody>
    </xdr:sp>
    <xdr:clientData/>
  </xdr:twoCellAnchor>
  <xdr:twoCellAnchor>
    <xdr:from>
      <xdr:col>14</xdr:col>
      <xdr:colOff>412750</xdr:colOff>
      <xdr:row>28</xdr:row>
      <xdr:rowOff>177800</xdr:rowOff>
    </xdr:from>
    <xdr:to>
      <xdr:col>19</xdr:col>
      <xdr:colOff>571500</xdr:colOff>
      <xdr:row>41</xdr:row>
      <xdr:rowOff>107950</xdr:rowOff>
    </xdr:to>
    <xdr:sp macro="" textlink="">
      <xdr:nvSpPr>
        <xdr:cNvPr id="47" name="Rectangle: Rounded Corners 46">
          <a:extLst>
            <a:ext uri="{FF2B5EF4-FFF2-40B4-BE49-F238E27FC236}">
              <a16:creationId xmlns:a16="http://schemas.microsoft.com/office/drawing/2014/main" id="{F2BEB763-186F-4FCE-BF1A-DA6035B7D3E1}"/>
            </a:ext>
          </a:extLst>
        </xdr:cNvPr>
        <xdr:cNvSpPr/>
      </xdr:nvSpPr>
      <xdr:spPr>
        <a:xfrm>
          <a:off x="8947150" y="5334000"/>
          <a:ext cx="3206750" cy="23241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t>📊 Best Performing Department:</a:t>
          </a:r>
          <a:br>
            <a:rPr lang="en-US"/>
          </a:br>
          <a:r>
            <a:rPr lang="en-US"/>
            <a:t>Sales department recorded the highest attendance, making it the top-performing team.</a:t>
          </a:r>
        </a:p>
        <a:p>
          <a:pPr algn="l"/>
          <a:r>
            <a:rPr lang="en-US"/>
            <a:t>❌ Absentee Analysis:</a:t>
          </a:r>
          <a:br>
            <a:rPr lang="en-US"/>
          </a:br>
          <a:r>
            <a:rPr lang="en-US"/>
            <a:t>152 records were marked absent out of 750 total records, resulting in an absentee rate of approximately 20.3%.</a:t>
          </a:r>
        </a:p>
        <a:p>
          <a:pPr algn="l"/>
          <a:r>
            <a:rPr lang="en-US"/>
            <a:t>⏰ Punctuality Alert:</a:t>
          </a:r>
          <a:br>
            <a:rPr lang="en-US"/>
          </a:br>
          <a:r>
            <a:rPr lang="en-US"/>
            <a:t>Late arrivals are relatively high with 363 late check-ins, indicating punctuality needs improvement.</a:t>
          </a:r>
        </a:p>
      </xdr:txBody>
    </xdr:sp>
    <xdr:clientData/>
  </xdr:twoCellAnchor>
  <xdr:twoCellAnchor>
    <xdr:from>
      <xdr:col>0</xdr:col>
      <xdr:colOff>95250</xdr:colOff>
      <xdr:row>44</xdr:row>
      <xdr:rowOff>25400</xdr:rowOff>
    </xdr:from>
    <xdr:to>
      <xdr:col>20</xdr:col>
      <xdr:colOff>234950</xdr:colOff>
      <xdr:row>46</xdr:row>
      <xdr:rowOff>120650</xdr:rowOff>
    </xdr:to>
    <xdr:sp macro="" textlink="">
      <xdr:nvSpPr>
        <xdr:cNvPr id="48" name="Rectangle: Rounded Corners 47">
          <a:extLst>
            <a:ext uri="{FF2B5EF4-FFF2-40B4-BE49-F238E27FC236}">
              <a16:creationId xmlns:a16="http://schemas.microsoft.com/office/drawing/2014/main" id="{4EED91F7-C184-47C1-8E5F-9A4C3A062CF0}"/>
            </a:ext>
          </a:extLst>
        </xdr:cNvPr>
        <xdr:cNvSpPr/>
      </xdr:nvSpPr>
      <xdr:spPr>
        <a:xfrm>
          <a:off x="95250" y="8128000"/>
          <a:ext cx="12331700" cy="463550"/>
        </a:xfrm>
        <a:prstGeom prst="roundRect">
          <a:avLst/>
        </a:prstGeom>
        <a:solidFill>
          <a:schemeClr val="accent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1100" b="1">
              <a:solidFill>
                <a:schemeClr val="bg1"/>
              </a:solidFill>
            </a:rPr>
            <a:t>                                                                                                                                                                                                                                            Date Modified On : 23-5-2026 | Sourse: Employee Attendance Tracker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7.489820370371" createdVersion="7" refreshedVersion="7" minRefreshableVersion="3" recordCount="750" xr:uid="{8653A03A-C6CE-467C-A071-3F3C71C78614}">
  <cacheSource type="worksheet">
    <worksheetSource ref="A2:M752" sheet="Cleaned Data"/>
  </cacheSource>
  <cacheFields count="13">
    <cacheField name="Emp ID" numFmtId="0">
      <sharedItems/>
    </cacheField>
    <cacheField name="Employee Name" numFmtId="0">
      <sharedItems/>
    </cacheField>
    <cacheField name="Department" numFmtId="0">
      <sharedItems count="5">
        <s v="Sales"/>
        <s v="IT"/>
        <s v="HR"/>
        <s v="Finance"/>
        <s v="Operations"/>
      </sharedItems>
    </cacheField>
    <cacheField name="Date" numFmtId="0">
      <sharedItems count="25">
        <s v="2026-01-01"/>
        <s v="2026-01-02"/>
        <s v="2026-01-05"/>
        <s v="2026-01-06"/>
        <s v="2026-01-07"/>
        <s v="2026-01-08"/>
        <s v="2026-01-09"/>
        <s v="2026-01-12"/>
        <s v="2026-01-13"/>
        <s v="2026-01-14"/>
        <s v="2026-01-15"/>
        <s v="2026-01-16"/>
        <s v="2026-01-19"/>
        <s v="2026-01-20"/>
        <s v="2026-01-21"/>
        <s v="2026-01-22"/>
        <s v="2026-01-23"/>
        <s v="2026-01-26"/>
        <s v="2026-01-27"/>
        <s v="2026-01-28"/>
        <s v="2026-01-29"/>
        <s v="2026-01-30"/>
        <s v="2026-02-02"/>
        <s v="2026-02-03"/>
        <s v="2026-02-04"/>
      </sharedItems>
    </cacheField>
    <cacheField name="Status" numFmtId="0">
      <sharedItems count="3">
        <s v="Present"/>
        <s v="Absent"/>
        <s v="Work From Home"/>
      </sharedItems>
    </cacheField>
    <cacheField name="Login Time" numFmtId="0">
      <sharedItems/>
    </cacheField>
    <cacheField name="Logout Time" numFmtId="0">
      <sharedItems/>
    </cacheField>
    <cacheField name="Calc. Hours" numFmtId="2">
      <sharedItems containsSemiMixedTypes="0" containsString="0" containsNumber="1" minValue="0" maxValue="12.666666666666668"/>
    </cacheField>
    <cacheField name="Login Status" numFmtId="0">
      <sharedItems/>
    </cacheField>
    <cacheField name="Attendance Category" numFmtId="0">
      <sharedItems/>
    </cacheField>
    <cacheField name="Hours Check" numFmtId="0">
      <sharedItems/>
    </cacheField>
    <cacheField name="Category Match" numFmtId="0">
      <sharedItems/>
    </cacheField>
    <cacheField name="Data Quality" numFmtId="0">
      <sharedItems count="2">
        <s v="CLEAN"/>
        <s v="REVIEW"/>
      </sharedItems>
    </cacheField>
  </cacheFields>
  <extLst>
    <ext xmlns:x14="http://schemas.microsoft.com/office/spreadsheetml/2009/9/main" uri="{725AE2AE-9491-48be-B2B4-4EB974FC3084}">
      <x14:pivotCacheDefinition pivotCacheId="6115031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
  <r>
    <s v="EMP004"/>
    <s v="Sneha Reddy"/>
    <x v="0"/>
    <x v="0"/>
    <x v="0"/>
    <s v="08:05"/>
    <s v="20:45"/>
    <n v="12.666666666666668"/>
    <s v="On Time"/>
    <s v="Full Day"/>
    <s v="Full Day"/>
    <s v="✓ Match"/>
    <x v="0"/>
  </r>
  <r>
    <s v="EMP005"/>
    <s v="Vijay"/>
    <x v="1"/>
    <x v="0"/>
    <x v="1"/>
    <s v="No Login"/>
    <s v="No Logout"/>
    <n v="0"/>
    <s v=""/>
    <s v="Absent"/>
    <s v="N/A"/>
    <s v="⚠ Mismatch"/>
    <x v="1"/>
  </r>
  <r>
    <s v="EMP021"/>
    <s v="Nitin Sharma"/>
    <x v="0"/>
    <x v="0"/>
    <x v="1"/>
    <s v="No Login"/>
    <s v="No Logout"/>
    <n v="0"/>
    <s v=""/>
    <s v="Absent"/>
    <s v="N/A"/>
    <s v="⚠ Mismatch"/>
    <x v="1"/>
  </r>
  <r>
    <s v="EMP023"/>
    <s v="Harish Kumar"/>
    <x v="2"/>
    <x v="0"/>
    <x v="0"/>
    <s v="08:20"/>
    <s v="20:15"/>
    <n v="11.916666666666666"/>
    <s v="On Time"/>
    <s v="Full Day"/>
    <s v="Full Day"/>
    <s v="✓ Match"/>
    <x v="0"/>
  </r>
  <r>
    <s v="EMP008"/>
    <s v="Divya"/>
    <x v="1"/>
    <x v="0"/>
    <x v="0"/>
    <s v="08:45"/>
    <s v="17:00"/>
    <n v="8.2500000000000018"/>
    <s v="On Time"/>
    <s v="Full Day"/>
    <s v="Full Day"/>
    <s v="✓ Match"/>
    <x v="0"/>
  </r>
  <r>
    <s v="EMP024"/>
    <s v="Maheswari"/>
    <x v="3"/>
    <x v="0"/>
    <x v="0"/>
    <s v="09:30"/>
    <s v="19:10"/>
    <n v="9.6666666666666679"/>
    <s v="Late"/>
    <s v="Full Day"/>
    <s v="Full Day"/>
    <s v="✓ Match"/>
    <x v="0"/>
  </r>
  <r>
    <s v="EMP027"/>
    <s v="Ashok Kumar"/>
    <x v="0"/>
    <x v="0"/>
    <x v="0"/>
    <s v="09:10"/>
    <s v="17:10"/>
    <n v="8"/>
    <s v="Late"/>
    <s v="Full Day"/>
    <s v="Full Day"/>
    <s v="✓ Match"/>
    <x v="0"/>
  </r>
  <r>
    <s v="EMP019"/>
    <s v="Rohit Malhotra"/>
    <x v="4"/>
    <x v="0"/>
    <x v="0"/>
    <s v="09:10"/>
    <s v="20:45"/>
    <n v="11.583333333333336"/>
    <s v="Late"/>
    <s v="Full Day"/>
    <s v="Full Day"/>
    <s v="✓ Match"/>
    <x v="0"/>
  </r>
  <r>
    <s v="EMP006"/>
    <s v="Anjali"/>
    <x v="1"/>
    <x v="0"/>
    <x v="0"/>
    <s v="09:10"/>
    <s v="16:10"/>
    <n v="7.0000000000000018"/>
    <s v="Late"/>
    <s v="Half Day"/>
    <s v="Half Day"/>
    <s v="✓ Match"/>
    <x v="0"/>
  </r>
  <r>
    <s v="EMP017"/>
    <s v="Deepak"/>
    <x v="2"/>
    <x v="0"/>
    <x v="0"/>
    <s v="08:10"/>
    <s v="20:45"/>
    <n v="12.583333333333334"/>
    <s v="On Time"/>
    <s v="Full Day"/>
    <s v="Full Day"/>
    <s v="✓ Match"/>
    <x v="0"/>
  </r>
  <r>
    <s v="EMP001"/>
    <s v="Arun Kumar"/>
    <x v="2"/>
    <x v="0"/>
    <x v="0"/>
    <s v="08:10"/>
    <s v="16:10"/>
    <n v="8.0000000000000018"/>
    <s v="On Time"/>
    <s v="Full Day"/>
    <s v="Full Day"/>
    <s v="✓ Match"/>
    <x v="0"/>
  </r>
  <r>
    <s v="EMP011"/>
    <s v="Ajay Rao"/>
    <x v="3"/>
    <x v="0"/>
    <x v="2"/>
    <s v="09:20"/>
    <s v="18:45"/>
    <n v="9.4166666666666661"/>
    <s v="Late"/>
    <s v="Full Day"/>
    <s v="Full Day"/>
    <s v="✓ Match"/>
    <x v="0"/>
  </r>
  <r>
    <s v="EMP020"/>
    <s v="Lakshmi Devi"/>
    <x v="0"/>
    <x v="0"/>
    <x v="0"/>
    <s v="09:45"/>
    <s v="16:10"/>
    <n v="6.4166666666666679"/>
    <s v="Late"/>
    <s v="Half Day"/>
    <s v="Half Day"/>
    <s v="✓ Match"/>
    <x v="0"/>
  </r>
  <r>
    <s v="EMP029"/>
    <s v="Sanjana Roy"/>
    <x v="1"/>
    <x v="0"/>
    <x v="0"/>
    <s v="10:15"/>
    <s v="20:00"/>
    <n v="9.7500000000000018"/>
    <s v="Late"/>
    <s v="Full Day"/>
    <s v="Full Day"/>
    <s v="✓ Match"/>
    <x v="0"/>
  </r>
  <r>
    <s v="EMP030"/>
    <s v="Mohit Agarwal"/>
    <x v="1"/>
    <x v="0"/>
    <x v="0"/>
    <s v="09:15"/>
    <s v="20:15"/>
    <n v="11"/>
    <s v="Late"/>
    <s v="Full Day"/>
    <s v="Full Day"/>
    <s v="✓ Match"/>
    <x v="0"/>
  </r>
  <r>
    <s v="EMP014"/>
    <s v="Neha"/>
    <x v="0"/>
    <x v="0"/>
    <x v="1"/>
    <s v="No Login"/>
    <s v="No Logout"/>
    <n v="0"/>
    <s v=""/>
    <s v="Absent"/>
    <s v="N/A"/>
    <s v="⚠ Mismatch"/>
    <x v="1"/>
  </r>
  <r>
    <s v="EMP022"/>
    <s v="Swathi Rao"/>
    <x v="4"/>
    <x v="0"/>
    <x v="1"/>
    <s v="No Login"/>
    <s v="No Logout"/>
    <n v="0"/>
    <s v=""/>
    <s v="Absent"/>
    <s v="N/A"/>
    <s v="⚠ Mismatch"/>
    <x v="1"/>
  </r>
  <r>
    <s v="EMP003"/>
    <s v="Rahul Verma"/>
    <x v="2"/>
    <x v="0"/>
    <x v="0"/>
    <s v="08:00"/>
    <s v="16:10"/>
    <n v="8.1666666666666679"/>
    <s v="On Time"/>
    <s v="Full Day"/>
    <s v="Full Day"/>
    <s v="✓ Match"/>
    <x v="0"/>
  </r>
  <r>
    <s v="EMP016"/>
    <s v="Kavya Menon"/>
    <x v="1"/>
    <x v="0"/>
    <x v="0"/>
    <s v="09:45"/>
    <s v="18:10"/>
    <n v="8.4166666666666679"/>
    <s v="Late"/>
    <s v="Full Day"/>
    <s v="Full Day"/>
    <s v="✓ Match"/>
    <x v="0"/>
  </r>
  <r>
    <s v="EMP026"/>
    <s v="Gayathri S"/>
    <x v="1"/>
    <x v="0"/>
    <x v="1"/>
    <s v="No Login"/>
    <s v="No Logout"/>
    <n v="0"/>
    <s v=""/>
    <s v="Absent"/>
    <s v="N/A"/>
    <s v="⚠ Mismatch"/>
    <x v="1"/>
  </r>
  <r>
    <s v="EMP002"/>
    <s v="Priya Sharma"/>
    <x v="0"/>
    <x v="0"/>
    <x v="0"/>
    <s v="08:30"/>
    <s v="19:00"/>
    <n v="10.499999999999998"/>
    <s v="On Time"/>
    <s v="Full Day"/>
    <s v="Full Day"/>
    <s v="✓ Match"/>
    <x v="0"/>
  </r>
  <r>
    <s v="EMP010"/>
    <s v="Meena"/>
    <x v="3"/>
    <x v="0"/>
    <x v="0"/>
    <s v="08:15"/>
    <s v="19:00"/>
    <n v="10.75"/>
    <s v="On Time"/>
    <s v="Full Day"/>
    <s v="Full Day"/>
    <s v="✓ Match"/>
    <x v="0"/>
  </r>
  <r>
    <s v="EMP025"/>
    <s v="Varun Sethi"/>
    <x v="2"/>
    <x v="0"/>
    <x v="0"/>
    <s v="08:20"/>
    <s v="19:15"/>
    <n v="10.916666666666666"/>
    <s v="On Time"/>
    <s v="Full Day"/>
    <s v="Full Day"/>
    <s v="✓ Match"/>
    <x v="0"/>
  </r>
  <r>
    <s v="EMP007"/>
    <s v="Karan Patel"/>
    <x v="3"/>
    <x v="0"/>
    <x v="1"/>
    <s v="No Login"/>
    <s v="No Logout"/>
    <n v="0"/>
    <s v=""/>
    <s v="Absent"/>
    <s v="N/A"/>
    <s v="⚠ Mismatch"/>
    <x v="1"/>
  </r>
  <r>
    <s v="EMP009"/>
    <s v="Suresh Babu"/>
    <x v="2"/>
    <x v="0"/>
    <x v="0"/>
    <s v="08:45"/>
    <s v="17:30"/>
    <n v="8.75"/>
    <s v="On Time"/>
    <s v="Full Day"/>
    <s v="Full Day"/>
    <s v="✓ Match"/>
    <x v="0"/>
  </r>
  <r>
    <s v="EMP012"/>
    <s v="Pooja Das"/>
    <x v="0"/>
    <x v="0"/>
    <x v="0"/>
    <s v="10:20"/>
    <s v="18:45"/>
    <n v="8.4166666666666661"/>
    <s v="Late"/>
    <s v="Full Day"/>
    <s v="Full Day"/>
    <s v="✓ Match"/>
    <x v="0"/>
  </r>
  <r>
    <s v="EMP015"/>
    <s v="Manoj"/>
    <x v="3"/>
    <x v="0"/>
    <x v="1"/>
    <s v="No Login"/>
    <s v="No Logout"/>
    <n v="0"/>
    <s v=""/>
    <s v="Absent"/>
    <s v="N/A"/>
    <s v="⚠ Mismatch"/>
    <x v="1"/>
  </r>
  <r>
    <s v="EMP018"/>
    <s v="Aisha Khan"/>
    <x v="0"/>
    <x v="0"/>
    <x v="0"/>
    <s v="09:05"/>
    <s v="20:45"/>
    <n v="11.666666666666666"/>
    <s v="Late"/>
    <s v="Full Day"/>
    <s v="Full Day"/>
    <s v="✓ Match"/>
    <x v="0"/>
  </r>
  <r>
    <s v="EMP013"/>
    <s v="Ramesh"/>
    <x v="0"/>
    <x v="0"/>
    <x v="0"/>
    <s v="09:45"/>
    <s v="18:00"/>
    <n v="8.25"/>
    <s v="Late"/>
    <s v="Full Day"/>
    <s v="Full Day"/>
    <s v="✓ Match"/>
    <x v="0"/>
  </r>
  <r>
    <s v="EMP028"/>
    <s v="Naveen Raj"/>
    <x v="1"/>
    <x v="0"/>
    <x v="0"/>
    <s v="08:00"/>
    <s v="15:10"/>
    <n v="7.1666666666666661"/>
    <s v="On Time"/>
    <s v="Half Day"/>
    <s v="Half Day"/>
    <s v="✓ Match"/>
    <x v="0"/>
  </r>
  <r>
    <s v="EMP003"/>
    <s v="Rahul Verma"/>
    <x v="2"/>
    <x v="1"/>
    <x v="0"/>
    <s v="08:05"/>
    <s v="18:00"/>
    <n v="9.9166666666666661"/>
    <s v="On Time"/>
    <s v="Full Day"/>
    <s v="Full Day"/>
    <s v="✓ Match"/>
    <x v="0"/>
  </r>
  <r>
    <s v="EMP006"/>
    <s v="Anjali"/>
    <x v="1"/>
    <x v="1"/>
    <x v="0"/>
    <s v="08:10"/>
    <s v="16:30"/>
    <n v="8.3333333333333339"/>
    <s v="On Time"/>
    <s v="Full Day"/>
    <s v="Full Day"/>
    <s v="✓ Match"/>
    <x v="0"/>
  </r>
  <r>
    <s v="EMP021"/>
    <s v="Nitin Sharma"/>
    <x v="0"/>
    <x v="1"/>
    <x v="0"/>
    <s v="10:20"/>
    <s v="20:20"/>
    <n v="10"/>
    <s v="Late"/>
    <s v="Full Day"/>
    <s v="Full Day"/>
    <s v="✓ Match"/>
    <x v="0"/>
  </r>
  <r>
    <s v="EMP020"/>
    <s v="Lakshmi Devi"/>
    <x v="0"/>
    <x v="1"/>
    <x v="0"/>
    <s v="08:15"/>
    <s v="16:30"/>
    <n v="8.25"/>
    <s v="On Time"/>
    <s v="Full Day"/>
    <s v="Full Day"/>
    <s v="✓ Match"/>
    <x v="0"/>
  </r>
  <r>
    <s v="EMP025"/>
    <s v="Varun Sethi"/>
    <x v="2"/>
    <x v="1"/>
    <x v="0"/>
    <s v="09:30"/>
    <s v="16:00"/>
    <n v="6.5"/>
    <s v="Late"/>
    <s v="Half Day"/>
    <s v="Half Day"/>
    <s v="✓ Match"/>
    <x v="0"/>
  </r>
  <r>
    <s v="EMP029"/>
    <s v="Sanjana Roy"/>
    <x v="1"/>
    <x v="1"/>
    <x v="0"/>
    <s v="09:20"/>
    <s v="16:00"/>
    <n v="6.6666666666666661"/>
    <s v="Late"/>
    <s v="Half Day"/>
    <s v="Half Day"/>
    <s v="✓ Match"/>
    <x v="0"/>
  </r>
  <r>
    <s v="EMP028"/>
    <s v="Naveen Raj"/>
    <x v="1"/>
    <x v="1"/>
    <x v="0"/>
    <s v="08:00"/>
    <s v="18:30"/>
    <n v="10.500000000000002"/>
    <s v="On Time"/>
    <s v="Full Day"/>
    <s v="Full Day"/>
    <s v="✓ Match"/>
    <x v="0"/>
  </r>
  <r>
    <s v="EMP013"/>
    <s v="Ramesh"/>
    <x v="0"/>
    <x v="1"/>
    <x v="1"/>
    <s v="No Login"/>
    <s v="No Logout"/>
    <n v="0"/>
    <s v=""/>
    <s v="Absent"/>
    <s v="N/A"/>
    <s v="⚠ Mismatch"/>
    <x v="1"/>
  </r>
  <r>
    <s v="EMP005"/>
    <s v="Vijay"/>
    <x v="1"/>
    <x v="1"/>
    <x v="0"/>
    <s v="08:30"/>
    <s v="17:45"/>
    <n v="9.25"/>
    <s v="On Time"/>
    <s v="Full Day"/>
    <s v="Full Day"/>
    <s v="✓ Match"/>
    <x v="0"/>
  </r>
  <r>
    <s v="EMP010"/>
    <s v="Meena"/>
    <x v="3"/>
    <x v="1"/>
    <x v="0"/>
    <s v="08:45"/>
    <s v="19:10"/>
    <n v="10.416666666666668"/>
    <s v="On Time"/>
    <s v="Full Day"/>
    <s v="Full Day"/>
    <s v="✓ Match"/>
    <x v="0"/>
  </r>
  <r>
    <s v="EMP008"/>
    <s v="Divya"/>
    <x v="1"/>
    <x v="1"/>
    <x v="0"/>
    <s v="08:10"/>
    <s v="17:10"/>
    <n v="9.0000000000000018"/>
    <s v="On Time"/>
    <s v="Full Day"/>
    <s v="Full Day"/>
    <s v="✓ Match"/>
    <x v="0"/>
  </r>
  <r>
    <s v="EMP017"/>
    <s v="Deepak"/>
    <x v="2"/>
    <x v="1"/>
    <x v="0"/>
    <s v="08:05"/>
    <s v="15:00"/>
    <n v="6.9166666666666661"/>
    <s v="On Time"/>
    <s v="Half Day"/>
    <s v="Half Day"/>
    <s v="✓ Match"/>
    <x v="0"/>
  </r>
  <r>
    <s v="EMP022"/>
    <s v="Swathi Rao"/>
    <x v="4"/>
    <x v="1"/>
    <x v="0"/>
    <s v="09:15"/>
    <s v="17:00"/>
    <n v="7.75"/>
    <s v="Late"/>
    <s v="Half Day"/>
    <s v="Half Day"/>
    <s v="✓ Match"/>
    <x v="0"/>
  </r>
  <r>
    <s v="EMP004"/>
    <s v="Sneha Reddy"/>
    <x v="0"/>
    <x v="1"/>
    <x v="2"/>
    <s v="10:10"/>
    <s v="20:10"/>
    <n v="10"/>
    <s v="Late"/>
    <s v="Full Day"/>
    <s v="Full Day"/>
    <s v="✓ Match"/>
    <x v="0"/>
  </r>
  <r>
    <s v="EMP009"/>
    <s v="Suresh Babu"/>
    <x v="2"/>
    <x v="1"/>
    <x v="0"/>
    <s v="10:00"/>
    <s v="17:45"/>
    <n v="7.75"/>
    <s v="Late"/>
    <s v="Half Day"/>
    <s v="Half Day"/>
    <s v="✓ Match"/>
    <x v="0"/>
  </r>
  <r>
    <s v="EMP014"/>
    <s v="Neha"/>
    <x v="0"/>
    <x v="1"/>
    <x v="1"/>
    <s v="No Login"/>
    <s v="No Logout"/>
    <n v="0"/>
    <s v=""/>
    <s v="Absent"/>
    <s v="N/A"/>
    <s v="⚠ Mismatch"/>
    <x v="1"/>
  </r>
  <r>
    <s v="EMP002"/>
    <s v="Priya Sharma"/>
    <x v="0"/>
    <x v="1"/>
    <x v="0"/>
    <s v="10:45"/>
    <s v="19:45"/>
    <n v="8.9999999999999982"/>
    <s v="Late"/>
    <s v="Full Day"/>
    <s v="Full Day"/>
    <s v="✓ Match"/>
    <x v="0"/>
  </r>
  <r>
    <s v="EMP023"/>
    <s v="Harish Kumar"/>
    <x v="2"/>
    <x v="1"/>
    <x v="0"/>
    <s v="09:15"/>
    <s v="19:20"/>
    <n v="10.08333333333333"/>
    <s v="Late"/>
    <s v="Full Day"/>
    <s v="Full Day"/>
    <s v="✓ Match"/>
    <x v="0"/>
  </r>
  <r>
    <s v="EMP019"/>
    <s v="Rohit Malhotra"/>
    <x v="4"/>
    <x v="1"/>
    <x v="0"/>
    <s v="08:00"/>
    <s v="17:00"/>
    <n v="9.0000000000000018"/>
    <s v="On Time"/>
    <s v="Full Day"/>
    <s v="Full Day"/>
    <s v="✓ Match"/>
    <x v="0"/>
  </r>
  <r>
    <s v="EMP012"/>
    <s v="Pooja Das"/>
    <x v="0"/>
    <x v="1"/>
    <x v="0"/>
    <s v="09:05"/>
    <s v="20:45"/>
    <n v="11.666666666666666"/>
    <s v="Late"/>
    <s v="Full Day"/>
    <s v="Full Day"/>
    <s v="✓ Match"/>
    <x v="0"/>
  </r>
  <r>
    <s v="EMP015"/>
    <s v="Manoj"/>
    <x v="3"/>
    <x v="1"/>
    <x v="0"/>
    <s v="09:10"/>
    <s v="19:30"/>
    <n v="10.333333333333334"/>
    <s v="Late"/>
    <s v="Full Day"/>
    <s v="Full Day"/>
    <s v="✓ Match"/>
    <x v="0"/>
  </r>
  <r>
    <s v="EMP024"/>
    <s v="Maheswari"/>
    <x v="3"/>
    <x v="1"/>
    <x v="1"/>
    <s v="No Login"/>
    <s v="No Logout"/>
    <n v="0"/>
    <s v=""/>
    <s v="Absent"/>
    <s v="N/A"/>
    <s v="⚠ Mismatch"/>
    <x v="1"/>
  </r>
  <r>
    <s v="EMP007"/>
    <s v="Karan Patel"/>
    <x v="3"/>
    <x v="1"/>
    <x v="2"/>
    <s v="10:00"/>
    <s v="20:15"/>
    <n v="10.25"/>
    <s v="Late"/>
    <s v="Full Day"/>
    <s v="Full Day"/>
    <s v="✓ Match"/>
    <x v="0"/>
  </r>
  <r>
    <s v="EMP018"/>
    <s v="Aisha Khan"/>
    <x v="0"/>
    <x v="1"/>
    <x v="1"/>
    <s v="No Login"/>
    <s v="No Logout"/>
    <n v="0"/>
    <s v=""/>
    <s v="Absent"/>
    <s v="N/A"/>
    <s v="⚠ Mismatch"/>
    <x v="1"/>
  </r>
  <r>
    <s v="EMP016"/>
    <s v="Kavya Menon"/>
    <x v="1"/>
    <x v="1"/>
    <x v="0"/>
    <s v="08:00"/>
    <s v="17:00"/>
    <n v="9.0000000000000018"/>
    <s v="On Time"/>
    <s v="Full Day"/>
    <s v="Full Day"/>
    <s v="✓ Match"/>
    <x v="0"/>
  </r>
  <r>
    <s v="EMP001"/>
    <s v="Arun Kumar"/>
    <x v="2"/>
    <x v="1"/>
    <x v="2"/>
    <s v="10:00"/>
    <s v="20:45"/>
    <n v="10.75"/>
    <s v="Late"/>
    <s v="Full Day"/>
    <s v="Full Day"/>
    <s v="✓ Match"/>
    <x v="0"/>
  </r>
  <r>
    <s v="EMP027"/>
    <s v="Ashok Kumar"/>
    <x v="0"/>
    <x v="1"/>
    <x v="0"/>
    <s v="09:05"/>
    <s v="19:10"/>
    <n v="10.083333333333334"/>
    <s v="Late"/>
    <s v="Full Day"/>
    <s v="Full Day"/>
    <s v="✓ Match"/>
    <x v="0"/>
  </r>
  <r>
    <s v="EMP030"/>
    <s v="Mohit Agarwal"/>
    <x v="1"/>
    <x v="1"/>
    <x v="2"/>
    <s v="10:05"/>
    <s v="20:20"/>
    <n v="10.25"/>
    <s v="Late"/>
    <s v="Full Day"/>
    <s v="Full Day"/>
    <s v="✓ Match"/>
    <x v="0"/>
  </r>
  <r>
    <s v="EMP011"/>
    <s v="Ajay Rao"/>
    <x v="3"/>
    <x v="1"/>
    <x v="0"/>
    <s v="09:20"/>
    <s v="17:15"/>
    <n v="7.9166666666666661"/>
    <s v="Late"/>
    <s v="Half Day"/>
    <s v="Half Day"/>
    <s v="✓ Match"/>
    <x v="0"/>
  </r>
  <r>
    <s v="EMP026"/>
    <s v="Gayathri S"/>
    <x v="1"/>
    <x v="1"/>
    <x v="0"/>
    <s v="08:45"/>
    <s v="15:10"/>
    <n v="6.4166666666666661"/>
    <s v="On Time"/>
    <s v="Half Day"/>
    <s v="Half Day"/>
    <s v="✓ Match"/>
    <x v="0"/>
  </r>
  <r>
    <s v="EMP014"/>
    <s v="Neha"/>
    <x v="0"/>
    <x v="2"/>
    <x v="0"/>
    <s v="11:00"/>
    <s v="18:30"/>
    <n v="7.5000000000000018"/>
    <s v="Late"/>
    <s v="Half Day"/>
    <s v="Half Day"/>
    <s v="✓ Match"/>
    <x v="0"/>
  </r>
  <r>
    <s v="EMP005"/>
    <s v="Vijay"/>
    <x v="1"/>
    <x v="2"/>
    <x v="0"/>
    <s v="08:00"/>
    <s v="19:45"/>
    <n v="11.75"/>
    <s v="On Time"/>
    <s v="Full Day"/>
    <s v="Full Day"/>
    <s v="✓ Match"/>
    <x v="0"/>
  </r>
  <r>
    <s v="EMP023"/>
    <s v="Harish Kumar"/>
    <x v="2"/>
    <x v="2"/>
    <x v="0"/>
    <s v="10:00"/>
    <s v="17:15"/>
    <n v="7.25"/>
    <s v="Late"/>
    <s v="Half Day"/>
    <s v="Half Day"/>
    <s v="✓ Match"/>
    <x v="0"/>
  </r>
  <r>
    <s v="EMP018"/>
    <s v="Aisha Khan"/>
    <x v="0"/>
    <x v="2"/>
    <x v="0"/>
    <s v="10:10"/>
    <s v="20:00"/>
    <n v="9.8333333333333339"/>
    <s v="Late"/>
    <s v="Full Day"/>
    <s v="Full Day"/>
    <s v="✓ Match"/>
    <x v="0"/>
  </r>
  <r>
    <s v="EMP024"/>
    <s v="Maheswari"/>
    <x v="3"/>
    <x v="2"/>
    <x v="1"/>
    <s v="No Login"/>
    <s v="No Logout"/>
    <n v="0"/>
    <s v=""/>
    <s v="Absent"/>
    <s v="N/A"/>
    <s v="⚠ Mismatch"/>
    <x v="1"/>
  </r>
  <r>
    <s v="EMP009"/>
    <s v="Suresh Babu"/>
    <x v="2"/>
    <x v="2"/>
    <x v="0"/>
    <s v="10:15"/>
    <s v="17:30"/>
    <n v="7.25"/>
    <s v="Late"/>
    <s v="Half Day"/>
    <s v="Half Day"/>
    <s v="✓ Match"/>
    <x v="0"/>
  </r>
  <r>
    <s v="EMP013"/>
    <s v="Ramesh"/>
    <x v="0"/>
    <x v="2"/>
    <x v="0"/>
    <s v="08:30"/>
    <s v="15:00"/>
    <n v="6.5"/>
    <s v="On Time"/>
    <s v="Half Day"/>
    <s v="Half Day"/>
    <s v="✓ Match"/>
    <x v="0"/>
  </r>
  <r>
    <s v="EMP001"/>
    <s v="Arun Kumar"/>
    <x v="2"/>
    <x v="2"/>
    <x v="0"/>
    <s v="10:00"/>
    <s v="18:20"/>
    <n v="8.3333333333333321"/>
    <s v="Late"/>
    <s v="Full Day"/>
    <s v="Full Day"/>
    <s v="✓ Match"/>
    <x v="0"/>
  </r>
  <r>
    <s v="EMP017"/>
    <s v="Deepak"/>
    <x v="2"/>
    <x v="2"/>
    <x v="0"/>
    <s v="11:45"/>
    <s v="20:30"/>
    <n v="8.75"/>
    <s v="Late"/>
    <s v="Full Day"/>
    <s v="Full Day"/>
    <s v="✓ Match"/>
    <x v="0"/>
  </r>
  <r>
    <s v="EMP028"/>
    <s v="Naveen Raj"/>
    <x v="1"/>
    <x v="2"/>
    <x v="0"/>
    <s v="09:20"/>
    <s v="17:20"/>
    <n v="8"/>
    <s v="Late"/>
    <s v="Full Day"/>
    <s v="Full Day"/>
    <s v="✓ Match"/>
    <x v="0"/>
  </r>
  <r>
    <s v="EMP016"/>
    <s v="Kavya Menon"/>
    <x v="1"/>
    <x v="2"/>
    <x v="0"/>
    <s v="08:45"/>
    <s v="19:45"/>
    <n v="11"/>
    <s v="On Time"/>
    <s v="Full Day"/>
    <s v="Full Day"/>
    <s v="✓ Match"/>
    <x v="0"/>
  </r>
  <r>
    <s v="EMP022"/>
    <s v="Swathi Rao"/>
    <x v="4"/>
    <x v="2"/>
    <x v="0"/>
    <s v="10:45"/>
    <s v="17:00"/>
    <n v="6.25"/>
    <s v="Late"/>
    <s v="Half Day"/>
    <s v="Half Day"/>
    <s v="✓ Match"/>
    <x v="0"/>
  </r>
  <r>
    <s v="EMP007"/>
    <s v="Karan Patel"/>
    <x v="3"/>
    <x v="2"/>
    <x v="0"/>
    <s v="10:20"/>
    <s v="18:00"/>
    <n v="7.6666666666666661"/>
    <s v="Late"/>
    <s v="Half Day"/>
    <s v="Half Day"/>
    <s v="✓ Match"/>
    <x v="0"/>
  </r>
  <r>
    <s v="EMP003"/>
    <s v="Rahul Verma"/>
    <x v="2"/>
    <x v="2"/>
    <x v="0"/>
    <s v="11:45"/>
    <s v="20:45"/>
    <n v="9.0000000000000018"/>
    <s v="Late"/>
    <s v="Full Day"/>
    <s v="Full Day"/>
    <s v="✓ Match"/>
    <x v="0"/>
  </r>
  <r>
    <s v="EMP012"/>
    <s v="Pooja Das"/>
    <x v="0"/>
    <x v="2"/>
    <x v="0"/>
    <s v="08:10"/>
    <s v="18:10"/>
    <n v="10.000000000000004"/>
    <s v="On Time"/>
    <s v="Full Day"/>
    <s v="Full Day"/>
    <s v="✓ Match"/>
    <x v="0"/>
  </r>
  <r>
    <s v="EMP030"/>
    <s v="Mohit Agarwal"/>
    <x v="1"/>
    <x v="2"/>
    <x v="0"/>
    <s v="08:00"/>
    <s v="17:30"/>
    <n v="9.5"/>
    <s v="On Time"/>
    <s v="Full Day"/>
    <s v="Full Day"/>
    <s v="✓ Match"/>
    <x v="0"/>
  </r>
  <r>
    <s v="EMP004"/>
    <s v="Sneha Reddy"/>
    <x v="0"/>
    <x v="2"/>
    <x v="1"/>
    <s v="No Login"/>
    <s v="No Logout"/>
    <n v="0"/>
    <s v=""/>
    <s v="Absent"/>
    <s v="N/A"/>
    <s v="⚠ Mismatch"/>
    <x v="1"/>
  </r>
  <r>
    <s v="EMP011"/>
    <s v="Ajay Rao"/>
    <x v="3"/>
    <x v="2"/>
    <x v="0"/>
    <s v="09:10"/>
    <s v="18:10"/>
    <n v="9.0000000000000036"/>
    <s v="Late"/>
    <s v="Full Day"/>
    <s v="Full Day"/>
    <s v="✓ Match"/>
    <x v="0"/>
  </r>
  <r>
    <s v="EMP020"/>
    <s v="Lakshmi Devi"/>
    <x v="0"/>
    <x v="2"/>
    <x v="0"/>
    <s v="08:20"/>
    <s v="16:45"/>
    <n v="8.4166666666666643"/>
    <s v="On Time"/>
    <s v="Full Day"/>
    <s v="Full Day"/>
    <s v="✓ Match"/>
    <x v="0"/>
  </r>
  <r>
    <s v="EMP019"/>
    <s v="Rohit Malhotra"/>
    <x v="4"/>
    <x v="2"/>
    <x v="2"/>
    <s v="08:00"/>
    <s v="15:45"/>
    <n v="7.75"/>
    <s v="On Time"/>
    <s v="Half Day"/>
    <s v="Half Day"/>
    <s v="✓ Match"/>
    <x v="0"/>
  </r>
  <r>
    <s v="EMP006"/>
    <s v="Anjali"/>
    <x v="1"/>
    <x v="2"/>
    <x v="0"/>
    <s v="10:00"/>
    <s v="17:30"/>
    <n v="7.4999999999999982"/>
    <s v="Late"/>
    <s v="Half Day"/>
    <s v="Half Day"/>
    <s v="✓ Match"/>
    <x v="0"/>
  </r>
  <r>
    <s v="EMP008"/>
    <s v="Divya"/>
    <x v="1"/>
    <x v="2"/>
    <x v="2"/>
    <s v="08:05"/>
    <s v="15:30"/>
    <n v="7.416666666666667"/>
    <s v="On Time"/>
    <s v="Half Day"/>
    <s v="Half Day"/>
    <s v="✓ Match"/>
    <x v="0"/>
  </r>
  <r>
    <s v="EMP021"/>
    <s v="Nitin Sharma"/>
    <x v="0"/>
    <x v="2"/>
    <x v="0"/>
    <s v="09:45"/>
    <s v="18:30"/>
    <n v="8.75"/>
    <s v="Late"/>
    <s v="Full Day"/>
    <s v="Full Day"/>
    <s v="✓ Match"/>
    <x v="0"/>
  </r>
  <r>
    <s v="EMP026"/>
    <s v="Gayathri S"/>
    <x v="1"/>
    <x v="2"/>
    <x v="1"/>
    <s v="No Login"/>
    <s v="No Logout"/>
    <n v="0"/>
    <s v=""/>
    <s v="Absent"/>
    <s v="N/A"/>
    <s v="⚠ Mismatch"/>
    <x v="1"/>
  </r>
  <r>
    <s v="EMP025"/>
    <s v="Varun Sethi"/>
    <x v="2"/>
    <x v="2"/>
    <x v="0"/>
    <s v="08:30"/>
    <s v="18:30"/>
    <n v="10"/>
    <s v="On Time"/>
    <s v="Full Day"/>
    <s v="Full Day"/>
    <s v="✓ Match"/>
    <x v="0"/>
  </r>
  <r>
    <s v="EMP002"/>
    <s v="Priya Sharma"/>
    <x v="0"/>
    <x v="2"/>
    <x v="0"/>
    <s v="09:45"/>
    <s v="19:15"/>
    <n v="9.5"/>
    <s v="Late"/>
    <s v="Full Day"/>
    <s v="Full Day"/>
    <s v="✓ Match"/>
    <x v="0"/>
  </r>
  <r>
    <s v="EMP010"/>
    <s v="Meena"/>
    <x v="3"/>
    <x v="2"/>
    <x v="0"/>
    <s v="09:20"/>
    <s v="16:20"/>
    <n v="6.9999999999999982"/>
    <s v="Late"/>
    <s v="Half Day"/>
    <s v="Half Day"/>
    <s v="✓ Match"/>
    <x v="0"/>
  </r>
  <r>
    <s v="EMP015"/>
    <s v="Manoj"/>
    <x v="3"/>
    <x v="2"/>
    <x v="0"/>
    <s v="08:10"/>
    <s v="15:10"/>
    <n v="7"/>
    <s v="On Time"/>
    <s v="Half Day"/>
    <s v="Half Day"/>
    <s v="✓ Match"/>
    <x v="0"/>
  </r>
  <r>
    <s v="EMP027"/>
    <s v="Ashok Kumar"/>
    <x v="0"/>
    <x v="2"/>
    <x v="0"/>
    <s v="08:30"/>
    <s v="16:30"/>
    <n v="8"/>
    <s v="On Time"/>
    <s v="Full Day"/>
    <s v="Full Day"/>
    <s v="✓ Match"/>
    <x v="0"/>
  </r>
  <r>
    <s v="EMP029"/>
    <s v="Sanjana Roy"/>
    <x v="1"/>
    <x v="2"/>
    <x v="0"/>
    <s v="08:45"/>
    <s v="15:15"/>
    <n v="6.5"/>
    <s v="On Time"/>
    <s v="Half Day"/>
    <s v="Half Day"/>
    <s v="✓ Match"/>
    <x v="0"/>
  </r>
  <r>
    <s v="EMP009"/>
    <s v="Suresh Babu"/>
    <x v="2"/>
    <x v="3"/>
    <x v="1"/>
    <s v="No Login"/>
    <s v="No Logout"/>
    <n v="0"/>
    <s v=""/>
    <s v="Absent"/>
    <s v="N/A"/>
    <s v="⚠ Mismatch"/>
    <x v="1"/>
  </r>
  <r>
    <s v="EMP028"/>
    <s v="Naveen Raj"/>
    <x v="1"/>
    <x v="3"/>
    <x v="0"/>
    <s v="08:45"/>
    <s v="19:30"/>
    <n v="10.75"/>
    <s v="On Time"/>
    <s v="Full Day"/>
    <s v="Full Day"/>
    <s v="✓ Match"/>
    <x v="0"/>
  </r>
  <r>
    <s v="EMP027"/>
    <s v="Ashok Kumar"/>
    <x v="0"/>
    <x v="3"/>
    <x v="1"/>
    <s v="No Login"/>
    <s v="No Logout"/>
    <n v="0"/>
    <s v=""/>
    <s v="Absent"/>
    <s v="N/A"/>
    <s v="⚠ Mismatch"/>
    <x v="1"/>
  </r>
  <r>
    <s v="EMP002"/>
    <s v="Priya Sharma"/>
    <x v="0"/>
    <x v="3"/>
    <x v="2"/>
    <s v="08:05"/>
    <s v="16:20"/>
    <n v="8.2499999999999964"/>
    <s v="On Time"/>
    <s v="Full Day"/>
    <s v="Full Day"/>
    <s v="✓ Match"/>
    <x v="0"/>
  </r>
  <r>
    <s v="EMP005"/>
    <s v="Vijay"/>
    <x v="1"/>
    <x v="3"/>
    <x v="1"/>
    <s v="No Login"/>
    <s v="No Logout"/>
    <n v="0"/>
    <s v=""/>
    <s v="Absent"/>
    <s v="N/A"/>
    <s v="⚠ Mismatch"/>
    <x v="1"/>
  </r>
  <r>
    <s v="EMP010"/>
    <s v="Meena"/>
    <x v="3"/>
    <x v="3"/>
    <x v="1"/>
    <s v="No Login"/>
    <s v="No Logout"/>
    <n v="0"/>
    <s v=""/>
    <s v="Absent"/>
    <s v="N/A"/>
    <s v="⚠ Mismatch"/>
    <x v="1"/>
  </r>
  <r>
    <s v="EMP011"/>
    <s v="Ajay Rao"/>
    <x v="3"/>
    <x v="3"/>
    <x v="0"/>
    <s v="09:15"/>
    <s v="18:15"/>
    <n v="8.9999999999999982"/>
    <s v="Late"/>
    <s v="Full Day"/>
    <s v="Full Day"/>
    <s v="✓ Match"/>
    <x v="0"/>
  </r>
  <r>
    <s v="EMP015"/>
    <s v="Manoj"/>
    <x v="3"/>
    <x v="3"/>
    <x v="1"/>
    <s v="No Login"/>
    <s v="No Logout"/>
    <n v="0"/>
    <s v=""/>
    <s v="Absent"/>
    <s v="N/A"/>
    <s v="⚠ Mismatch"/>
    <x v="1"/>
  </r>
  <r>
    <s v="EMP021"/>
    <s v="Nitin Sharma"/>
    <x v="0"/>
    <x v="3"/>
    <x v="2"/>
    <s v="10:05"/>
    <s v="19:20"/>
    <n v="9.2499999999999982"/>
    <s v="Late"/>
    <s v="Full Day"/>
    <s v="Full Day"/>
    <s v="✓ Match"/>
    <x v="0"/>
  </r>
  <r>
    <s v="EMP018"/>
    <s v="Aisha Khan"/>
    <x v="0"/>
    <x v="3"/>
    <x v="0"/>
    <s v="09:15"/>
    <s v="20:10"/>
    <n v="10.916666666666666"/>
    <s v="Late"/>
    <s v="Full Day"/>
    <s v="Full Day"/>
    <s v="✓ Match"/>
    <x v="0"/>
  </r>
  <r>
    <s v="EMP025"/>
    <s v="Varun Sethi"/>
    <x v="2"/>
    <x v="3"/>
    <x v="0"/>
    <s v="09:15"/>
    <s v="20:45"/>
    <n v="11.5"/>
    <s v="Late"/>
    <s v="Full Day"/>
    <s v="Full Day"/>
    <s v="✓ Match"/>
    <x v="0"/>
  </r>
  <r>
    <s v="EMP014"/>
    <s v="Neha"/>
    <x v="0"/>
    <x v="3"/>
    <x v="0"/>
    <s v="10:10"/>
    <s v="17:00"/>
    <n v="6.8333333333333339"/>
    <s v="Late"/>
    <s v="Half Day"/>
    <s v="Half Day"/>
    <s v="✓ Match"/>
    <x v="0"/>
  </r>
  <r>
    <s v="EMP007"/>
    <s v="Karan Patel"/>
    <x v="3"/>
    <x v="3"/>
    <x v="1"/>
    <s v="No Login"/>
    <s v="No Logout"/>
    <n v="0"/>
    <s v=""/>
    <s v="Absent"/>
    <s v="N/A"/>
    <s v="⚠ Mismatch"/>
    <x v="1"/>
  </r>
  <r>
    <s v="EMP001"/>
    <s v="Arun Kumar"/>
    <x v="2"/>
    <x v="3"/>
    <x v="2"/>
    <s v="09:20"/>
    <s v="20:10"/>
    <n v="10.833333333333334"/>
    <s v="Late"/>
    <s v="Full Day"/>
    <s v="Full Day"/>
    <s v="✓ Match"/>
    <x v="0"/>
  </r>
  <r>
    <s v="EMP030"/>
    <s v="Mohit Agarwal"/>
    <x v="1"/>
    <x v="3"/>
    <x v="0"/>
    <s v="10:45"/>
    <s v="20:10"/>
    <n v="9.4166666666666661"/>
    <s v="Late"/>
    <s v="Full Day"/>
    <s v="Full Day"/>
    <s v="✓ Match"/>
    <x v="0"/>
  </r>
  <r>
    <s v="EMP023"/>
    <s v="Harish Kumar"/>
    <x v="2"/>
    <x v="3"/>
    <x v="0"/>
    <s v="08:10"/>
    <s v="19:15"/>
    <n v="11.083333333333336"/>
    <s v="On Time"/>
    <s v="Full Day"/>
    <s v="Full Day"/>
    <s v="✓ Match"/>
    <x v="0"/>
  </r>
  <r>
    <s v="EMP029"/>
    <s v="Sanjana Roy"/>
    <x v="1"/>
    <x v="3"/>
    <x v="0"/>
    <s v="09:15"/>
    <s v="20:10"/>
    <n v="10.916666666666666"/>
    <s v="Late"/>
    <s v="Full Day"/>
    <s v="Full Day"/>
    <s v="✓ Match"/>
    <x v="0"/>
  </r>
  <r>
    <s v="EMP020"/>
    <s v="Lakshmi Devi"/>
    <x v="0"/>
    <x v="3"/>
    <x v="1"/>
    <s v="No Login"/>
    <s v="No Logout"/>
    <n v="0"/>
    <s v=""/>
    <s v="Absent"/>
    <s v="N/A"/>
    <s v="⚠ Mismatch"/>
    <x v="1"/>
  </r>
  <r>
    <s v="EMP012"/>
    <s v="Pooja Das"/>
    <x v="0"/>
    <x v="3"/>
    <x v="1"/>
    <s v="No Login"/>
    <s v="No Logout"/>
    <n v="0"/>
    <s v=""/>
    <s v="Absent"/>
    <s v="N/A"/>
    <s v="⚠ Mismatch"/>
    <x v="1"/>
  </r>
  <r>
    <s v="EMP024"/>
    <s v="Maheswari"/>
    <x v="3"/>
    <x v="3"/>
    <x v="0"/>
    <s v="08:30"/>
    <s v="17:30"/>
    <n v="8.9999999999999982"/>
    <s v="On Time"/>
    <s v="Full Day"/>
    <s v="Full Day"/>
    <s v="✓ Match"/>
    <x v="0"/>
  </r>
  <r>
    <s v="EMP004"/>
    <s v="Sneha Reddy"/>
    <x v="0"/>
    <x v="3"/>
    <x v="1"/>
    <s v="No Login"/>
    <s v="No Logout"/>
    <n v="0"/>
    <s v=""/>
    <s v="Absent"/>
    <s v="N/A"/>
    <s v="⚠ Mismatch"/>
    <x v="1"/>
  </r>
  <r>
    <s v="EMP003"/>
    <s v="Rahul Verma"/>
    <x v="2"/>
    <x v="3"/>
    <x v="0"/>
    <s v="10:10"/>
    <s v="20:45"/>
    <n v="10.583333333333334"/>
    <s v="Late"/>
    <s v="Full Day"/>
    <s v="Full Day"/>
    <s v="✓ Match"/>
    <x v="0"/>
  </r>
  <r>
    <s v="EMP019"/>
    <s v="Rohit Malhotra"/>
    <x v="4"/>
    <x v="3"/>
    <x v="0"/>
    <s v="10:00"/>
    <s v="20:30"/>
    <n v="10.499999999999998"/>
    <s v="Late"/>
    <s v="Full Day"/>
    <s v="Full Day"/>
    <s v="✓ Match"/>
    <x v="0"/>
  </r>
  <r>
    <s v="EMP022"/>
    <s v="Swathi Rao"/>
    <x v="4"/>
    <x v="3"/>
    <x v="0"/>
    <s v="09:10"/>
    <s v="20:15"/>
    <n v="11.083333333333334"/>
    <s v="Late"/>
    <s v="Full Day"/>
    <s v="Full Day"/>
    <s v="✓ Match"/>
    <x v="0"/>
  </r>
  <r>
    <s v="EMP008"/>
    <s v="Divya"/>
    <x v="1"/>
    <x v="3"/>
    <x v="0"/>
    <s v="10:15"/>
    <s v="19:15"/>
    <n v="9.0000000000000018"/>
    <s v="Late"/>
    <s v="Full Day"/>
    <s v="Full Day"/>
    <s v="✓ Match"/>
    <x v="0"/>
  </r>
  <r>
    <s v="EMP006"/>
    <s v="Anjali"/>
    <x v="1"/>
    <x v="3"/>
    <x v="0"/>
    <s v="10:00"/>
    <s v="20:00"/>
    <n v="10"/>
    <s v="Late"/>
    <s v="Full Day"/>
    <s v="Full Day"/>
    <s v="✓ Match"/>
    <x v="0"/>
  </r>
  <r>
    <s v="EMP017"/>
    <s v="Deepak"/>
    <x v="2"/>
    <x v="3"/>
    <x v="0"/>
    <s v="08:45"/>
    <s v="17:20"/>
    <n v="8.5833333333333339"/>
    <s v="On Time"/>
    <s v="Full Day"/>
    <s v="Full Day"/>
    <s v="✓ Match"/>
    <x v="0"/>
  </r>
  <r>
    <s v="EMP016"/>
    <s v="Kavya Menon"/>
    <x v="1"/>
    <x v="3"/>
    <x v="0"/>
    <s v="09:10"/>
    <s v="16:00"/>
    <n v="6.833333333333333"/>
    <s v="Late"/>
    <s v="Half Day"/>
    <s v="Half Day"/>
    <s v="✓ Match"/>
    <x v="0"/>
  </r>
  <r>
    <s v="EMP026"/>
    <s v="Gayathri S"/>
    <x v="1"/>
    <x v="3"/>
    <x v="2"/>
    <s v="09:10"/>
    <s v="19:30"/>
    <n v="10.333333333333334"/>
    <s v="Late"/>
    <s v="Full Day"/>
    <s v="Full Day"/>
    <s v="✓ Match"/>
    <x v="0"/>
  </r>
  <r>
    <s v="EMP013"/>
    <s v="Ramesh"/>
    <x v="0"/>
    <x v="3"/>
    <x v="2"/>
    <s v="08:30"/>
    <s v="19:20"/>
    <n v="10.83333333333333"/>
    <s v="On Time"/>
    <s v="Full Day"/>
    <s v="Full Day"/>
    <s v="✓ Match"/>
    <x v="0"/>
  </r>
  <r>
    <s v="EMP028"/>
    <s v="Naveen Raj"/>
    <x v="1"/>
    <x v="4"/>
    <x v="2"/>
    <s v="11:20"/>
    <s v="18:20"/>
    <n v="6.9999999999999982"/>
    <s v="Late"/>
    <s v="Half Day"/>
    <s v="Half Day"/>
    <s v="✓ Match"/>
    <x v="0"/>
  </r>
  <r>
    <s v="EMP011"/>
    <s v="Ajay Rao"/>
    <x v="3"/>
    <x v="4"/>
    <x v="0"/>
    <s v="10:15"/>
    <s v="20:45"/>
    <n v="10.500000000000002"/>
    <s v="Late"/>
    <s v="Full Day"/>
    <s v="Full Day"/>
    <s v="✓ Match"/>
    <x v="0"/>
  </r>
  <r>
    <s v="EMP023"/>
    <s v="Harish Kumar"/>
    <x v="2"/>
    <x v="4"/>
    <x v="0"/>
    <s v="09:45"/>
    <s v="19:20"/>
    <n v="9.5833333333333321"/>
    <s v="Late"/>
    <s v="Full Day"/>
    <s v="Full Day"/>
    <s v="✓ Match"/>
    <x v="0"/>
  </r>
  <r>
    <s v="EMP005"/>
    <s v="Vijay"/>
    <x v="1"/>
    <x v="4"/>
    <x v="0"/>
    <s v="09:05"/>
    <s v="20:45"/>
    <n v="11.666666666666666"/>
    <s v="Late"/>
    <s v="Full Day"/>
    <s v="Full Day"/>
    <s v="✓ Match"/>
    <x v="0"/>
  </r>
  <r>
    <s v="EMP015"/>
    <s v="Manoj"/>
    <x v="3"/>
    <x v="4"/>
    <x v="1"/>
    <s v="No Login"/>
    <s v="No Logout"/>
    <n v="0"/>
    <s v=""/>
    <s v="Absent"/>
    <s v="N/A"/>
    <s v="⚠ Mismatch"/>
    <x v="1"/>
  </r>
  <r>
    <s v="EMP030"/>
    <s v="Mohit Agarwal"/>
    <x v="1"/>
    <x v="4"/>
    <x v="0"/>
    <s v="09:00"/>
    <s v="18:20"/>
    <n v="9.3333333333333321"/>
    <s v="On Time"/>
    <s v="Full Day"/>
    <s v="Full Day"/>
    <s v="✓ Match"/>
    <x v="0"/>
  </r>
  <r>
    <s v="EMP029"/>
    <s v="Sanjana Roy"/>
    <x v="1"/>
    <x v="4"/>
    <x v="0"/>
    <s v="09:00"/>
    <s v="20:20"/>
    <n v="11.333333333333332"/>
    <s v="On Time"/>
    <s v="Full Day"/>
    <s v="Full Day"/>
    <s v="✓ Match"/>
    <x v="0"/>
  </r>
  <r>
    <s v="EMP009"/>
    <s v="Suresh Babu"/>
    <x v="2"/>
    <x v="4"/>
    <x v="0"/>
    <s v="08:45"/>
    <s v="15:20"/>
    <n v="6.5833333333333357"/>
    <s v="On Time"/>
    <s v="Half Day"/>
    <s v="Half Day"/>
    <s v="✓ Match"/>
    <x v="0"/>
  </r>
  <r>
    <s v="EMP018"/>
    <s v="Aisha Khan"/>
    <x v="0"/>
    <x v="4"/>
    <x v="0"/>
    <s v="08:20"/>
    <s v="15:10"/>
    <n v="6.8333333333333321"/>
    <s v="On Time"/>
    <s v="Half Day"/>
    <s v="Half Day"/>
    <s v="✓ Match"/>
    <x v="0"/>
  </r>
  <r>
    <s v="EMP025"/>
    <s v="Varun Sethi"/>
    <x v="2"/>
    <x v="4"/>
    <x v="0"/>
    <s v="08:15"/>
    <s v="15:20"/>
    <n v="7.0833333333333348"/>
    <s v="On Time"/>
    <s v="Half Day"/>
    <s v="Half Day"/>
    <s v="✓ Match"/>
    <x v="0"/>
  </r>
  <r>
    <s v="EMP027"/>
    <s v="Ashok Kumar"/>
    <x v="0"/>
    <x v="4"/>
    <x v="1"/>
    <s v="No Login"/>
    <s v="No Logout"/>
    <n v="0"/>
    <s v=""/>
    <s v="Absent"/>
    <s v="N/A"/>
    <s v="⚠ Mismatch"/>
    <x v="1"/>
  </r>
  <r>
    <s v="EMP022"/>
    <s v="Swathi Rao"/>
    <x v="4"/>
    <x v="4"/>
    <x v="0"/>
    <s v="10:20"/>
    <s v="20:20"/>
    <n v="10"/>
    <s v="Late"/>
    <s v="Full Day"/>
    <s v="Full Day"/>
    <s v="✓ Match"/>
    <x v="0"/>
  </r>
  <r>
    <s v="EMP012"/>
    <s v="Pooja Das"/>
    <x v="0"/>
    <x v="4"/>
    <x v="2"/>
    <s v="09:20"/>
    <s v="19:10"/>
    <n v="9.8333333333333339"/>
    <s v="Late"/>
    <s v="Full Day"/>
    <s v="Full Day"/>
    <s v="✓ Match"/>
    <x v="0"/>
  </r>
  <r>
    <s v="EMP002"/>
    <s v="Priya Sharma"/>
    <x v="0"/>
    <x v="4"/>
    <x v="0"/>
    <s v="10:45"/>
    <s v="18:45"/>
    <n v="8"/>
    <s v="Late"/>
    <s v="Full Day"/>
    <s v="Full Day"/>
    <s v="✓ Match"/>
    <x v="0"/>
  </r>
  <r>
    <s v="EMP019"/>
    <s v="Rohit Malhotra"/>
    <x v="4"/>
    <x v="4"/>
    <x v="0"/>
    <s v="09:05"/>
    <s v="20:10"/>
    <n v="11.083333333333332"/>
    <s v="Late"/>
    <s v="Full Day"/>
    <s v="Full Day"/>
    <s v="✓ Match"/>
    <x v="0"/>
  </r>
  <r>
    <s v="EMP006"/>
    <s v="Anjali"/>
    <x v="1"/>
    <x v="4"/>
    <x v="0"/>
    <s v="09:05"/>
    <s v="20:45"/>
    <n v="11.666666666666666"/>
    <s v="Late"/>
    <s v="Full Day"/>
    <s v="Full Day"/>
    <s v="✓ Match"/>
    <x v="0"/>
  </r>
  <r>
    <s v="EMP013"/>
    <s v="Ramesh"/>
    <x v="0"/>
    <x v="4"/>
    <x v="1"/>
    <s v="No Login"/>
    <s v="No Logout"/>
    <n v="0"/>
    <s v=""/>
    <s v="Absent"/>
    <s v="N/A"/>
    <s v="⚠ Mismatch"/>
    <x v="1"/>
  </r>
  <r>
    <s v="EMP008"/>
    <s v="Divya"/>
    <x v="1"/>
    <x v="4"/>
    <x v="0"/>
    <s v="10:30"/>
    <s v="20:20"/>
    <n v="9.8333333333333321"/>
    <s v="Late"/>
    <s v="Full Day"/>
    <s v="Full Day"/>
    <s v="✓ Match"/>
    <x v="0"/>
  </r>
  <r>
    <s v="EMP004"/>
    <s v="Sneha Reddy"/>
    <x v="0"/>
    <x v="4"/>
    <x v="0"/>
    <s v="09:45"/>
    <s v="16:20"/>
    <n v="6.5833333333333313"/>
    <s v="Late"/>
    <s v="Half Day"/>
    <s v="Half Day"/>
    <s v="✓ Match"/>
    <x v="0"/>
  </r>
  <r>
    <s v="EMP020"/>
    <s v="Lakshmi Devi"/>
    <x v="0"/>
    <x v="4"/>
    <x v="0"/>
    <s v="09:20"/>
    <s v="19:20"/>
    <n v="9.9999999999999982"/>
    <s v="Late"/>
    <s v="Full Day"/>
    <s v="Full Day"/>
    <s v="✓ Match"/>
    <x v="0"/>
  </r>
  <r>
    <s v="EMP014"/>
    <s v="Neha"/>
    <x v="0"/>
    <x v="4"/>
    <x v="0"/>
    <s v="08:05"/>
    <s v="20:15"/>
    <n v="12.166666666666666"/>
    <s v="On Time"/>
    <s v="Full Day"/>
    <s v="Full Day"/>
    <s v="✓ Match"/>
    <x v="0"/>
  </r>
  <r>
    <s v="EMP017"/>
    <s v="Deepak"/>
    <x v="2"/>
    <x v="4"/>
    <x v="1"/>
    <s v="No Login"/>
    <s v="No Logout"/>
    <n v="0"/>
    <s v=""/>
    <s v="Absent"/>
    <s v="N/A"/>
    <s v="⚠ Mismatch"/>
    <x v="1"/>
  </r>
  <r>
    <s v="EMP026"/>
    <s v="Gayathri S"/>
    <x v="1"/>
    <x v="4"/>
    <x v="0"/>
    <s v="09:15"/>
    <s v="20:10"/>
    <n v="10.916666666666666"/>
    <s v="Late"/>
    <s v="Full Day"/>
    <s v="Full Day"/>
    <s v="✓ Match"/>
    <x v="0"/>
  </r>
  <r>
    <s v="EMP001"/>
    <s v="Arun Kumar"/>
    <x v="2"/>
    <x v="4"/>
    <x v="0"/>
    <s v="08:30"/>
    <s v="20:30"/>
    <n v="11.999999999999998"/>
    <s v="On Time"/>
    <s v="Full Day"/>
    <s v="Full Day"/>
    <s v="✓ Match"/>
    <x v="0"/>
  </r>
  <r>
    <s v="EMP010"/>
    <s v="Meena"/>
    <x v="3"/>
    <x v="4"/>
    <x v="0"/>
    <s v="09:20"/>
    <s v="20:30"/>
    <n v="11.166666666666666"/>
    <s v="Late"/>
    <s v="Full Day"/>
    <s v="Full Day"/>
    <s v="✓ Match"/>
    <x v="0"/>
  </r>
  <r>
    <s v="EMP021"/>
    <s v="Nitin Sharma"/>
    <x v="0"/>
    <x v="4"/>
    <x v="0"/>
    <s v="10:15"/>
    <s v="20:45"/>
    <n v="10.500000000000002"/>
    <s v="Late"/>
    <s v="Full Day"/>
    <s v="Full Day"/>
    <s v="✓ Match"/>
    <x v="0"/>
  </r>
  <r>
    <s v="EMP003"/>
    <s v="Rahul Verma"/>
    <x v="2"/>
    <x v="4"/>
    <x v="0"/>
    <s v="10:05"/>
    <s v="17:00"/>
    <n v="6.9166666666666679"/>
    <s v="Late"/>
    <s v="Half Day"/>
    <s v="Half Day"/>
    <s v="✓ Match"/>
    <x v="0"/>
  </r>
  <r>
    <s v="EMP016"/>
    <s v="Kavya Menon"/>
    <x v="1"/>
    <x v="4"/>
    <x v="0"/>
    <s v="09:10"/>
    <s v="19:00"/>
    <n v="9.8333333333333321"/>
    <s v="Late"/>
    <s v="Full Day"/>
    <s v="Full Day"/>
    <s v="✓ Match"/>
    <x v="0"/>
  </r>
  <r>
    <s v="EMP007"/>
    <s v="Karan Patel"/>
    <x v="3"/>
    <x v="4"/>
    <x v="0"/>
    <s v="10:45"/>
    <s v="17:20"/>
    <n v="6.5833333333333321"/>
    <s v="Late"/>
    <s v="Half Day"/>
    <s v="Half Day"/>
    <s v="✓ Match"/>
    <x v="0"/>
  </r>
  <r>
    <s v="EMP024"/>
    <s v="Maheswari"/>
    <x v="3"/>
    <x v="4"/>
    <x v="0"/>
    <s v="10:45"/>
    <s v="20:10"/>
    <n v="9.4166666666666661"/>
    <s v="Late"/>
    <s v="Full Day"/>
    <s v="Full Day"/>
    <s v="✓ Match"/>
    <x v="0"/>
  </r>
  <r>
    <s v="EMP024"/>
    <s v="Maheswari"/>
    <x v="3"/>
    <x v="5"/>
    <x v="0"/>
    <s v="10:10"/>
    <s v="19:10"/>
    <n v="9.0000000000000018"/>
    <s v="Late"/>
    <s v="Full Day"/>
    <s v="Full Day"/>
    <s v="✓ Match"/>
    <x v="0"/>
  </r>
  <r>
    <s v="EMP026"/>
    <s v="Gayathri S"/>
    <x v="1"/>
    <x v="5"/>
    <x v="0"/>
    <s v="10:05"/>
    <s v="20:30"/>
    <n v="10.416666666666666"/>
    <s v="Late"/>
    <s v="Full Day"/>
    <s v="Full Day"/>
    <s v="✓ Match"/>
    <x v="0"/>
  </r>
  <r>
    <s v="EMP028"/>
    <s v="Naveen Raj"/>
    <x v="1"/>
    <x v="5"/>
    <x v="0"/>
    <s v="08:45"/>
    <s v="17:15"/>
    <n v="8.5"/>
    <s v="On Time"/>
    <s v="Full Day"/>
    <s v="Full Day"/>
    <s v="✓ Match"/>
    <x v="0"/>
  </r>
  <r>
    <s v="EMP023"/>
    <s v="Harish Kumar"/>
    <x v="2"/>
    <x v="5"/>
    <x v="0"/>
    <s v="10:45"/>
    <s v="20:20"/>
    <n v="9.5833333333333321"/>
    <s v="Late"/>
    <s v="Full Day"/>
    <s v="Full Day"/>
    <s v="✓ Match"/>
    <x v="0"/>
  </r>
  <r>
    <s v="EMP017"/>
    <s v="Deepak"/>
    <x v="2"/>
    <x v="5"/>
    <x v="1"/>
    <s v="No Login"/>
    <s v="No Logout"/>
    <n v="0"/>
    <s v=""/>
    <s v="Absent"/>
    <s v="N/A"/>
    <s v="⚠ Mismatch"/>
    <x v="1"/>
  </r>
  <r>
    <s v="EMP011"/>
    <s v="Ajay Rao"/>
    <x v="3"/>
    <x v="5"/>
    <x v="1"/>
    <s v="No Login"/>
    <s v="No Logout"/>
    <n v="0"/>
    <s v=""/>
    <s v="Absent"/>
    <s v="N/A"/>
    <s v="⚠ Mismatch"/>
    <x v="1"/>
  </r>
  <r>
    <s v="EMP029"/>
    <s v="Sanjana Roy"/>
    <x v="1"/>
    <x v="5"/>
    <x v="0"/>
    <s v="09:10"/>
    <s v="20:00"/>
    <n v="10.833333333333336"/>
    <s v="Late"/>
    <s v="Full Day"/>
    <s v="Full Day"/>
    <s v="✓ Match"/>
    <x v="0"/>
  </r>
  <r>
    <s v="EMP003"/>
    <s v="Rahul Verma"/>
    <x v="2"/>
    <x v="5"/>
    <x v="1"/>
    <s v="No Login"/>
    <s v="No Logout"/>
    <n v="0"/>
    <s v=""/>
    <s v="Absent"/>
    <s v="N/A"/>
    <s v="⚠ Mismatch"/>
    <x v="1"/>
  </r>
  <r>
    <s v="EMP022"/>
    <s v="Swathi Rao"/>
    <x v="4"/>
    <x v="5"/>
    <x v="0"/>
    <s v="08:20"/>
    <s v="20:15"/>
    <n v="11.916666666666666"/>
    <s v="On Time"/>
    <s v="Full Day"/>
    <s v="Full Day"/>
    <s v="✓ Match"/>
    <x v="0"/>
  </r>
  <r>
    <s v="EMP010"/>
    <s v="Meena"/>
    <x v="3"/>
    <x v="5"/>
    <x v="0"/>
    <s v="09:30"/>
    <s v="20:00"/>
    <n v="10.500000000000002"/>
    <s v="Late"/>
    <s v="Full Day"/>
    <s v="Full Day"/>
    <s v="✓ Match"/>
    <x v="0"/>
  </r>
  <r>
    <s v="EMP001"/>
    <s v="Arun Kumar"/>
    <x v="2"/>
    <x v="5"/>
    <x v="0"/>
    <s v="09:10"/>
    <s v="19:15"/>
    <n v="10.083333333333336"/>
    <s v="Late"/>
    <s v="Full Day"/>
    <s v="Full Day"/>
    <s v="✓ Match"/>
    <x v="0"/>
  </r>
  <r>
    <s v="EMP008"/>
    <s v="Divya"/>
    <x v="1"/>
    <x v="5"/>
    <x v="0"/>
    <s v="08:15"/>
    <s v="20:00"/>
    <n v="11.75"/>
    <s v="On Time"/>
    <s v="Full Day"/>
    <s v="Full Day"/>
    <s v="✓ Match"/>
    <x v="0"/>
  </r>
  <r>
    <s v="EMP016"/>
    <s v="Kavya Menon"/>
    <x v="1"/>
    <x v="5"/>
    <x v="1"/>
    <s v="No Login"/>
    <s v="No Logout"/>
    <n v="0"/>
    <s v=""/>
    <s v="Absent"/>
    <s v="N/A"/>
    <s v="⚠ Mismatch"/>
    <x v="1"/>
  </r>
  <r>
    <s v="EMP025"/>
    <s v="Varun Sethi"/>
    <x v="2"/>
    <x v="5"/>
    <x v="1"/>
    <s v="No Login"/>
    <s v="No Logout"/>
    <n v="0"/>
    <s v=""/>
    <s v="Absent"/>
    <s v="N/A"/>
    <s v="⚠ Mismatch"/>
    <x v="1"/>
  </r>
  <r>
    <s v="EMP009"/>
    <s v="Suresh Babu"/>
    <x v="2"/>
    <x v="5"/>
    <x v="0"/>
    <s v="08:30"/>
    <s v="17:15"/>
    <n v="8.75"/>
    <s v="On Time"/>
    <s v="Full Day"/>
    <s v="Full Day"/>
    <s v="✓ Match"/>
    <x v="0"/>
  </r>
  <r>
    <s v="EMP013"/>
    <s v="Ramesh"/>
    <x v="0"/>
    <x v="5"/>
    <x v="0"/>
    <s v="10:15"/>
    <s v="20:45"/>
    <n v="10.500000000000002"/>
    <s v="Late"/>
    <s v="Full Day"/>
    <s v="Full Day"/>
    <s v="✓ Match"/>
    <x v="0"/>
  </r>
  <r>
    <s v="EMP014"/>
    <s v="Neha"/>
    <x v="0"/>
    <x v="5"/>
    <x v="0"/>
    <s v="09:45"/>
    <s v="20:10"/>
    <n v="10.416666666666668"/>
    <s v="Late"/>
    <s v="Full Day"/>
    <s v="Full Day"/>
    <s v="✓ Match"/>
    <x v="0"/>
  </r>
  <r>
    <s v="EMP015"/>
    <s v="Manoj"/>
    <x v="3"/>
    <x v="5"/>
    <x v="0"/>
    <s v="10:45"/>
    <s v="20:30"/>
    <n v="9.7499999999999982"/>
    <s v="Late"/>
    <s v="Full Day"/>
    <s v="Full Day"/>
    <s v="✓ Match"/>
    <x v="0"/>
  </r>
  <r>
    <s v="EMP020"/>
    <s v="Lakshmi Devi"/>
    <x v="0"/>
    <x v="5"/>
    <x v="1"/>
    <s v="No Login"/>
    <s v="No Logout"/>
    <n v="0"/>
    <s v=""/>
    <s v="Absent"/>
    <s v="N/A"/>
    <s v="⚠ Mismatch"/>
    <x v="1"/>
  </r>
  <r>
    <s v="EMP002"/>
    <s v="Priya Sharma"/>
    <x v="0"/>
    <x v="5"/>
    <x v="1"/>
    <s v="No Login"/>
    <s v="No Logout"/>
    <n v="0"/>
    <s v=""/>
    <s v="Absent"/>
    <s v="N/A"/>
    <s v="⚠ Mismatch"/>
    <x v="1"/>
  </r>
  <r>
    <s v="EMP019"/>
    <s v="Rohit Malhotra"/>
    <x v="4"/>
    <x v="5"/>
    <x v="0"/>
    <s v="09:10"/>
    <s v="16:20"/>
    <n v="7.1666666666666652"/>
    <s v="Late"/>
    <s v="Half Day"/>
    <s v="Half Day"/>
    <s v="✓ Match"/>
    <x v="0"/>
  </r>
  <r>
    <s v="EMP005"/>
    <s v="Vijay"/>
    <x v="1"/>
    <x v="5"/>
    <x v="0"/>
    <s v="11:05"/>
    <s v="20:00"/>
    <n v="8.9166666666666679"/>
    <s v="Late"/>
    <s v="Full Day"/>
    <s v="Full Day"/>
    <s v="✓ Match"/>
    <x v="0"/>
  </r>
  <r>
    <s v="EMP004"/>
    <s v="Sneha Reddy"/>
    <x v="0"/>
    <x v="5"/>
    <x v="0"/>
    <s v="08:00"/>
    <s v="20:30"/>
    <n v="12.499999999999998"/>
    <s v="On Time"/>
    <s v="Full Day"/>
    <s v="Full Day"/>
    <s v="✓ Match"/>
    <x v="0"/>
  </r>
  <r>
    <s v="EMP012"/>
    <s v="Pooja Das"/>
    <x v="0"/>
    <x v="5"/>
    <x v="0"/>
    <s v="08:20"/>
    <s v="15:15"/>
    <n v="6.9166666666666643"/>
    <s v="On Time"/>
    <s v="Half Day"/>
    <s v="Half Day"/>
    <s v="✓ Match"/>
    <x v="0"/>
  </r>
  <r>
    <s v="EMP021"/>
    <s v="Nitin Sharma"/>
    <x v="0"/>
    <x v="5"/>
    <x v="0"/>
    <s v="11:30"/>
    <s v="20:45"/>
    <n v="9.25"/>
    <s v="Late"/>
    <s v="Full Day"/>
    <s v="Full Day"/>
    <s v="✓ Match"/>
    <x v="0"/>
  </r>
  <r>
    <s v="EMP018"/>
    <s v="Aisha Khan"/>
    <x v="0"/>
    <x v="5"/>
    <x v="0"/>
    <s v="08:20"/>
    <s v="18:45"/>
    <n v="10.416666666666666"/>
    <s v="On Time"/>
    <s v="Full Day"/>
    <s v="Full Day"/>
    <s v="✓ Match"/>
    <x v="0"/>
  </r>
  <r>
    <s v="EMP030"/>
    <s v="Mohit Agarwal"/>
    <x v="1"/>
    <x v="5"/>
    <x v="0"/>
    <s v="08:05"/>
    <s v="20:20"/>
    <n v="12.25"/>
    <s v="On Time"/>
    <s v="Full Day"/>
    <s v="Full Day"/>
    <s v="✓ Match"/>
    <x v="0"/>
  </r>
  <r>
    <s v="EMP007"/>
    <s v="Karan Patel"/>
    <x v="3"/>
    <x v="5"/>
    <x v="0"/>
    <s v="10:05"/>
    <s v="18:00"/>
    <n v="7.9166666666666661"/>
    <s v="Late"/>
    <s v="Half Day"/>
    <s v="Half Day"/>
    <s v="✓ Match"/>
    <x v="0"/>
  </r>
  <r>
    <s v="EMP027"/>
    <s v="Ashok Kumar"/>
    <x v="0"/>
    <x v="5"/>
    <x v="0"/>
    <s v="09:00"/>
    <s v="19:15"/>
    <n v="10.25"/>
    <s v="On Time"/>
    <s v="Full Day"/>
    <s v="Full Day"/>
    <s v="✓ Match"/>
    <x v="0"/>
  </r>
  <r>
    <s v="EMP006"/>
    <s v="Anjali"/>
    <x v="1"/>
    <x v="5"/>
    <x v="1"/>
    <s v="No Login"/>
    <s v="No Logout"/>
    <n v="0"/>
    <s v=""/>
    <s v="Absent"/>
    <s v="N/A"/>
    <s v="⚠ Mismatch"/>
    <x v="1"/>
  </r>
  <r>
    <s v="EMP015"/>
    <s v="Manoj"/>
    <x v="3"/>
    <x v="6"/>
    <x v="0"/>
    <s v="10:15"/>
    <s v="17:00"/>
    <n v="6.7500000000000018"/>
    <s v="Late"/>
    <s v="Half Day"/>
    <s v="Half Day"/>
    <s v="✓ Match"/>
    <x v="0"/>
  </r>
  <r>
    <s v="EMP006"/>
    <s v="Anjali"/>
    <x v="1"/>
    <x v="6"/>
    <x v="0"/>
    <s v="11:20"/>
    <s v="20:15"/>
    <n v="8.9166666666666661"/>
    <s v="Late"/>
    <s v="Full Day"/>
    <s v="Full Day"/>
    <s v="✓ Match"/>
    <x v="0"/>
  </r>
  <r>
    <s v="EMP022"/>
    <s v="Swathi Rao"/>
    <x v="4"/>
    <x v="6"/>
    <x v="0"/>
    <s v="09:15"/>
    <s v="19:15"/>
    <n v="10"/>
    <s v="Late"/>
    <s v="Full Day"/>
    <s v="Full Day"/>
    <s v="✓ Match"/>
    <x v="0"/>
  </r>
  <r>
    <s v="EMP030"/>
    <s v="Mohit Agarwal"/>
    <x v="1"/>
    <x v="6"/>
    <x v="2"/>
    <s v="10:30"/>
    <s v="20:45"/>
    <n v="10.25"/>
    <s v="Late"/>
    <s v="Full Day"/>
    <s v="Full Day"/>
    <s v="✓ Match"/>
    <x v="0"/>
  </r>
  <r>
    <s v="EMP009"/>
    <s v="Suresh Babu"/>
    <x v="2"/>
    <x v="6"/>
    <x v="0"/>
    <s v="10:45"/>
    <s v="20:10"/>
    <n v="9.4166666666666661"/>
    <s v="Late"/>
    <s v="Full Day"/>
    <s v="Full Day"/>
    <s v="✓ Match"/>
    <x v="0"/>
  </r>
  <r>
    <s v="EMP020"/>
    <s v="Lakshmi Devi"/>
    <x v="0"/>
    <x v="6"/>
    <x v="0"/>
    <s v="10:10"/>
    <s v="17:10"/>
    <n v="7"/>
    <s v="Late"/>
    <s v="Half Day"/>
    <s v="Half Day"/>
    <s v="✓ Match"/>
    <x v="0"/>
  </r>
  <r>
    <s v="EMP024"/>
    <s v="Maheswari"/>
    <x v="3"/>
    <x v="6"/>
    <x v="2"/>
    <s v="08:20"/>
    <s v="15:30"/>
    <n v="7.1666666666666661"/>
    <s v="On Time"/>
    <s v="Half Day"/>
    <s v="Half Day"/>
    <s v="✓ Match"/>
    <x v="0"/>
  </r>
  <r>
    <s v="EMP010"/>
    <s v="Meena"/>
    <x v="3"/>
    <x v="6"/>
    <x v="0"/>
    <s v="10:10"/>
    <s v="20:30"/>
    <n v="10.333333333333332"/>
    <s v="Late"/>
    <s v="Full Day"/>
    <s v="Full Day"/>
    <s v="✓ Match"/>
    <x v="0"/>
  </r>
  <r>
    <s v="EMP001"/>
    <s v="Arun Kumar"/>
    <x v="2"/>
    <x v="6"/>
    <x v="0"/>
    <s v="10:30"/>
    <s v="20:45"/>
    <n v="10.25"/>
    <s v="Late"/>
    <s v="Full Day"/>
    <s v="Full Day"/>
    <s v="✓ Match"/>
    <x v="0"/>
  </r>
  <r>
    <s v="EMP027"/>
    <s v="Ashok Kumar"/>
    <x v="0"/>
    <x v="6"/>
    <x v="0"/>
    <s v="08:15"/>
    <s v="18:45"/>
    <n v="10.5"/>
    <s v="On Time"/>
    <s v="Full Day"/>
    <s v="Full Day"/>
    <s v="✓ Match"/>
    <x v="0"/>
  </r>
  <r>
    <s v="EMP005"/>
    <s v="Vijay"/>
    <x v="1"/>
    <x v="6"/>
    <x v="0"/>
    <s v="09:15"/>
    <s v="20:30"/>
    <n v="11.249999999999998"/>
    <s v="Late"/>
    <s v="Full Day"/>
    <s v="Full Day"/>
    <s v="✓ Match"/>
    <x v="0"/>
  </r>
  <r>
    <s v="EMP008"/>
    <s v="Divya"/>
    <x v="1"/>
    <x v="6"/>
    <x v="0"/>
    <s v="08:00"/>
    <s v="20:10"/>
    <n v="12.166666666666666"/>
    <s v="On Time"/>
    <s v="Full Day"/>
    <s v="Full Day"/>
    <s v="✓ Match"/>
    <x v="0"/>
  </r>
  <r>
    <s v="EMP025"/>
    <s v="Varun Sethi"/>
    <x v="2"/>
    <x v="6"/>
    <x v="2"/>
    <s v="08:45"/>
    <s v="16:45"/>
    <n v="8"/>
    <s v="On Time"/>
    <s v="Full Day"/>
    <s v="Full Day"/>
    <s v="✓ Match"/>
    <x v="0"/>
  </r>
  <r>
    <s v="EMP013"/>
    <s v="Ramesh"/>
    <x v="0"/>
    <x v="6"/>
    <x v="0"/>
    <s v="08:00"/>
    <s v="19:15"/>
    <n v="11.250000000000002"/>
    <s v="On Time"/>
    <s v="Full Day"/>
    <s v="Full Day"/>
    <s v="✓ Match"/>
    <x v="0"/>
  </r>
  <r>
    <s v="EMP018"/>
    <s v="Aisha Khan"/>
    <x v="0"/>
    <x v="6"/>
    <x v="1"/>
    <s v="No Login"/>
    <s v="No Logout"/>
    <n v="0"/>
    <s v=""/>
    <s v="Absent"/>
    <s v="N/A"/>
    <s v="⚠ Mismatch"/>
    <x v="1"/>
  </r>
  <r>
    <s v="EMP003"/>
    <s v="Rahul Verma"/>
    <x v="2"/>
    <x v="6"/>
    <x v="0"/>
    <s v="08:10"/>
    <s v="16:20"/>
    <n v="8.1666666666666661"/>
    <s v="On Time"/>
    <s v="Full Day"/>
    <s v="Full Day"/>
    <s v="✓ Match"/>
    <x v="0"/>
  </r>
  <r>
    <s v="EMP012"/>
    <s v="Pooja Das"/>
    <x v="0"/>
    <x v="6"/>
    <x v="0"/>
    <s v="09:10"/>
    <s v="16:45"/>
    <n v="7.583333333333333"/>
    <s v="Late"/>
    <s v="Half Day"/>
    <s v="Half Day"/>
    <s v="✓ Match"/>
    <x v="0"/>
  </r>
  <r>
    <s v="EMP007"/>
    <s v="Karan Patel"/>
    <x v="3"/>
    <x v="6"/>
    <x v="1"/>
    <s v="No Login"/>
    <s v="No Logout"/>
    <n v="0"/>
    <s v=""/>
    <s v="Absent"/>
    <s v="N/A"/>
    <s v="⚠ Mismatch"/>
    <x v="1"/>
  </r>
  <r>
    <s v="EMP019"/>
    <s v="Rohit Malhotra"/>
    <x v="4"/>
    <x v="6"/>
    <x v="0"/>
    <s v="08:30"/>
    <s v="20:00"/>
    <n v="11.5"/>
    <s v="On Time"/>
    <s v="Full Day"/>
    <s v="Full Day"/>
    <s v="✓ Match"/>
    <x v="0"/>
  </r>
  <r>
    <s v="EMP017"/>
    <s v="Deepak"/>
    <x v="2"/>
    <x v="6"/>
    <x v="2"/>
    <s v="08:45"/>
    <s v="18:00"/>
    <n v="9.25"/>
    <s v="On Time"/>
    <s v="Full Day"/>
    <s v="Full Day"/>
    <s v="✓ Match"/>
    <x v="0"/>
  </r>
  <r>
    <s v="EMP002"/>
    <s v="Priya Sharma"/>
    <x v="0"/>
    <x v="6"/>
    <x v="1"/>
    <s v="No Login"/>
    <s v="No Logout"/>
    <n v="0"/>
    <s v=""/>
    <s v="Absent"/>
    <s v="N/A"/>
    <s v="⚠ Mismatch"/>
    <x v="1"/>
  </r>
  <r>
    <s v="EMP016"/>
    <s v="Kavya Menon"/>
    <x v="1"/>
    <x v="6"/>
    <x v="0"/>
    <s v="09:15"/>
    <s v="18:10"/>
    <n v="8.9166666666666679"/>
    <s v="Late"/>
    <s v="Full Day"/>
    <s v="Full Day"/>
    <s v="✓ Match"/>
    <x v="0"/>
  </r>
  <r>
    <s v="EMP023"/>
    <s v="Harish Kumar"/>
    <x v="2"/>
    <x v="6"/>
    <x v="1"/>
    <s v="No Login"/>
    <s v="No Logout"/>
    <n v="0"/>
    <s v=""/>
    <s v="Absent"/>
    <s v="N/A"/>
    <s v="⚠ Mismatch"/>
    <x v="1"/>
  </r>
  <r>
    <s v="EMP011"/>
    <s v="Ajay Rao"/>
    <x v="3"/>
    <x v="6"/>
    <x v="2"/>
    <s v="09:10"/>
    <s v="16:10"/>
    <n v="7.0000000000000018"/>
    <s v="Late"/>
    <s v="Half Day"/>
    <s v="Half Day"/>
    <s v="✓ Match"/>
    <x v="0"/>
  </r>
  <r>
    <s v="EMP028"/>
    <s v="Naveen Raj"/>
    <x v="1"/>
    <x v="6"/>
    <x v="0"/>
    <s v="08:05"/>
    <s v="17:45"/>
    <n v="9.6666666666666679"/>
    <s v="On Time"/>
    <s v="Full Day"/>
    <s v="Full Day"/>
    <s v="✓ Match"/>
    <x v="0"/>
  </r>
  <r>
    <s v="EMP021"/>
    <s v="Nitin Sharma"/>
    <x v="0"/>
    <x v="6"/>
    <x v="0"/>
    <s v="10:20"/>
    <s v="20:30"/>
    <n v="10.166666666666664"/>
    <s v="Late"/>
    <s v="Full Day"/>
    <s v="Full Day"/>
    <s v="✓ Match"/>
    <x v="0"/>
  </r>
  <r>
    <s v="EMP026"/>
    <s v="Gayathri S"/>
    <x v="1"/>
    <x v="6"/>
    <x v="0"/>
    <s v="09:05"/>
    <s v="17:10"/>
    <n v="8.0833333333333321"/>
    <s v="Late"/>
    <s v="Full Day"/>
    <s v="Full Day"/>
    <s v="✓ Match"/>
    <x v="0"/>
  </r>
  <r>
    <s v="EMP004"/>
    <s v="Sneha Reddy"/>
    <x v="0"/>
    <x v="6"/>
    <x v="1"/>
    <s v="No Login"/>
    <s v="No Logout"/>
    <n v="0"/>
    <s v=""/>
    <s v="Absent"/>
    <s v="N/A"/>
    <s v="⚠ Mismatch"/>
    <x v="1"/>
  </r>
  <r>
    <s v="EMP029"/>
    <s v="Sanjana Roy"/>
    <x v="1"/>
    <x v="6"/>
    <x v="0"/>
    <s v="10:00"/>
    <s v="20:10"/>
    <n v="10.166666666666666"/>
    <s v="Late"/>
    <s v="Full Day"/>
    <s v="Full Day"/>
    <s v="✓ Match"/>
    <x v="0"/>
  </r>
  <r>
    <s v="EMP014"/>
    <s v="Neha"/>
    <x v="0"/>
    <x v="6"/>
    <x v="1"/>
    <s v="No Login"/>
    <s v="No Logout"/>
    <n v="0"/>
    <s v=""/>
    <s v="Absent"/>
    <s v="N/A"/>
    <s v="⚠ Mismatch"/>
    <x v="1"/>
  </r>
  <r>
    <s v="EMP016"/>
    <s v="Kavya Menon"/>
    <x v="1"/>
    <x v="7"/>
    <x v="0"/>
    <s v="08:10"/>
    <s v="17:00"/>
    <n v="8.8333333333333357"/>
    <s v="On Time"/>
    <s v="Full Day"/>
    <s v="Full Day"/>
    <s v="✓ Match"/>
    <x v="0"/>
  </r>
  <r>
    <s v="EMP004"/>
    <s v="Sneha Reddy"/>
    <x v="0"/>
    <x v="7"/>
    <x v="1"/>
    <s v="No Login"/>
    <s v="No Logout"/>
    <n v="0"/>
    <s v=""/>
    <s v="Absent"/>
    <s v="N/A"/>
    <s v="⚠ Mismatch"/>
    <x v="1"/>
  </r>
  <r>
    <s v="EMP017"/>
    <s v="Deepak"/>
    <x v="2"/>
    <x v="7"/>
    <x v="2"/>
    <s v="09:20"/>
    <s v="16:45"/>
    <n v="7.4166666666666661"/>
    <s v="Late"/>
    <s v="Half Day"/>
    <s v="Half Day"/>
    <s v="✓ Match"/>
    <x v="0"/>
  </r>
  <r>
    <s v="EMP026"/>
    <s v="Gayathri S"/>
    <x v="1"/>
    <x v="7"/>
    <x v="0"/>
    <s v="08:30"/>
    <s v="17:30"/>
    <n v="8.9999999999999982"/>
    <s v="On Time"/>
    <s v="Full Day"/>
    <s v="Full Day"/>
    <s v="✓ Match"/>
    <x v="0"/>
  </r>
  <r>
    <s v="EMP021"/>
    <s v="Nitin Sharma"/>
    <x v="0"/>
    <x v="7"/>
    <x v="0"/>
    <s v="10:05"/>
    <s v="19:30"/>
    <n v="9.4166666666666661"/>
    <s v="Late"/>
    <s v="Full Day"/>
    <s v="Full Day"/>
    <s v="✓ Match"/>
    <x v="0"/>
  </r>
  <r>
    <s v="EMP010"/>
    <s v="Meena"/>
    <x v="3"/>
    <x v="7"/>
    <x v="0"/>
    <s v="08:45"/>
    <s v="20:15"/>
    <n v="11.5"/>
    <s v="On Time"/>
    <s v="Full Day"/>
    <s v="Full Day"/>
    <s v="✓ Match"/>
    <x v="0"/>
  </r>
  <r>
    <s v="EMP008"/>
    <s v="Divya"/>
    <x v="1"/>
    <x v="7"/>
    <x v="1"/>
    <s v="No Login"/>
    <s v="No Logout"/>
    <n v="0"/>
    <s v=""/>
    <s v="Absent"/>
    <s v="N/A"/>
    <s v="⚠ Mismatch"/>
    <x v="1"/>
  </r>
  <r>
    <s v="EMP023"/>
    <s v="Harish Kumar"/>
    <x v="2"/>
    <x v="7"/>
    <x v="0"/>
    <s v="09:45"/>
    <s v="17:45"/>
    <n v="8"/>
    <s v="Late"/>
    <s v="Full Day"/>
    <s v="Full Day"/>
    <s v="✓ Match"/>
    <x v="0"/>
  </r>
  <r>
    <s v="EMP006"/>
    <s v="Anjali"/>
    <x v="1"/>
    <x v="7"/>
    <x v="0"/>
    <s v="08:15"/>
    <s v="17:30"/>
    <n v="9.25"/>
    <s v="On Time"/>
    <s v="Full Day"/>
    <s v="Full Day"/>
    <s v="✓ Match"/>
    <x v="0"/>
  </r>
  <r>
    <s v="EMP025"/>
    <s v="Varun Sethi"/>
    <x v="2"/>
    <x v="7"/>
    <x v="0"/>
    <s v="10:00"/>
    <s v="20:00"/>
    <n v="10"/>
    <s v="Late"/>
    <s v="Full Day"/>
    <s v="Full Day"/>
    <s v="✓ Match"/>
    <x v="0"/>
  </r>
  <r>
    <s v="EMP007"/>
    <s v="Karan Patel"/>
    <x v="3"/>
    <x v="7"/>
    <x v="0"/>
    <s v="09:20"/>
    <s v="16:20"/>
    <n v="6.9999999999999982"/>
    <s v="Late"/>
    <s v="Half Day"/>
    <s v="Half Day"/>
    <s v="✓ Match"/>
    <x v="0"/>
  </r>
  <r>
    <s v="EMP002"/>
    <s v="Priya Sharma"/>
    <x v="0"/>
    <x v="7"/>
    <x v="0"/>
    <s v="08:05"/>
    <s v="20:10"/>
    <n v="12.083333333333332"/>
    <s v="On Time"/>
    <s v="Full Day"/>
    <s v="Full Day"/>
    <s v="✓ Match"/>
    <x v="0"/>
  </r>
  <r>
    <s v="EMP015"/>
    <s v="Manoj"/>
    <x v="3"/>
    <x v="7"/>
    <x v="0"/>
    <s v="09:30"/>
    <s v="19:30"/>
    <n v="10"/>
    <s v="Late"/>
    <s v="Full Day"/>
    <s v="Full Day"/>
    <s v="✓ Match"/>
    <x v="0"/>
  </r>
  <r>
    <s v="EMP014"/>
    <s v="Neha"/>
    <x v="0"/>
    <x v="7"/>
    <x v="0"/>
    <s v="08:00"/>
    <s v="16:15"/>
    <n v="8.2500000000000018"/>
    <s v="On Time"/>
    <s v="Full Day"/>
    <s v="Full Day"/>
    <s v="✓ Match"/>
    <x v="0"/>
  </r>
  <r>
    <s v="EMP005"/>
    <s v="Vijay"/>
    <x v="1"/>
    <x v="7"/>
    <x v="0"/>
    <s v="10:10"/>
    <s v="20:00"/>
    <n v="9.8333333333333339"/>
    <s v="Late"/>
    <s v="Full Day"/>
    <s v="Full Day"/>
    <s v="✓ Match"/>
    <x v="0"/>
  </r>
  <r>
    <s v="EMP012"/>
    <s v="Pooja Das"/>
    <x v="0"/>
    <x v="7"/>
    <x v="0"/>
    <s v="10:05"/>
    <s v="20:20"/>
    <n v="10.25"/>
    <s v="Late"/>
    <s v="Full Day"/>
    <s v="Full Day"/>
    <s v="✓ Match"/>
    <x v="0"/>
  </r>
  <r>
    <s v="EMP018"/>
    <s v="Aisha Khan"/>
    <x v="0"/>
    <x v="7"/>
    <x v="1"/>
    <s v="No Login"/>
    <s v="No Logout"/>
    <n v="0"/>
    <s v=""/>
    <s v="Absent"/>
    <s v="N/A"/>
    <s v="⚠ Mismatch"/>
    <x v="1"/>
  </r>
  <r>
    <s v="EMP027"/>
    <s v="Ashok Kumar"/>
    <x v="0"/>
    <x v="7"/>
    <x v="1"/>
    <s v="No Login"/>
    <s v="No Logout"/>
    <n v="0"/>
    <s v=""/>
    <s v="Absent"/>
    <s v="N/A"/>
    <s v="⚠ Mismatch"/>
    <x v="1"/>
  </r>
  <r>
    <s v="EMP022"/>
    <s v="Swathi Rao"/>
    <x v="4"/>
    <x v="7"/>
    <x v="0"/>
    <s v="08:30"/>
    <s v="18:00"/>
    <n v="9.5"/>
    <s v="On Time"/>
    <s v="Full Day"/>
    <s v="Full Day"/>
    <s v="✓ Match"/>
    <x v="0"/>
  </r>
  <r>
    <s v="EMP003"/>
    <s v="Rahul Verma"/>
    <x v="2"/>
    <x v="7"/>
    <x v="2"/>
    <s v="10:00"/>
    <s v="17:10"/>
    <n v="7.1666666666666661"/>
    <s v="Late"/>
    <s v="Half Day"/>
    <s v="Half Day"/>
    <s v="✓ Match"/>
    <x v="0"/>
  </r>
  <r>
    <s v="EMP030"/>
    <s v="Mohit Agarwal"/>
    <x v="1"/>
    <x v="7"/>
    <x v="1"/>
    <s v="No Login"/>
    <s v="No Logout"/>
    <n v="0"/>
    <s v=""/>
    <s v="Absent"/>
    <s v="N/A"/>
    <s v="⚠ Mismatch"/>
    <x v="1"/>
  </r>
  <r>
    <s v="EMP028"/>
    <s v="Naveen Raj"/>
    <x v="1"/>
    <x v="7"/>
    <x v="0"/>
    <s v="09:15"/>
    <s v="17:20"/>
    <n v="8.0833333333333321"/>
    <s v="Late"/>
    <s v="Full Day"/>
    <s v="Full Day"/>
    <s v="✓ Match"/>
    <x v="0"/>
  </r>
  <r>
    <s v="EMP029"/>
    <s v="Sanjana Roy"/>
    <x v="1"/>
    <x v="7"/>
    <x v="0"/>
    <s v="09:20"/>
    <s v="20:45"/>
    <n v="11.416666666666668"/>
    <s v="Late"/>
    <s v="Full Day"/>
    <s v="Full Day"/>
    <s v="✓ Match"/>
    <x v="0"/>
  </r>
  <r>
    <s v="EMP019"/>
    <s v="Rohit Malhotra"/>
    <x v="4"/>
    <x v="7"/>
    <x v="0"/>
    <s v="08:20"/>
    <s v="17:30"/>
    <n v="9.1666666666666643"/>
    <s v="On Time"/>
    <s v="Full Day"/>
    <s v="Full Day"/>
    <s v="✓ Match"/>
    <x v="0"/>
  </r>
  <r>
    <s v="EMP020"/>
    <s v="Lakshmi Devi"/>
    <x v="0"/>
    <x v="7"/>
    <x v="1"/>
    <s v="No Login"/>
    <s v="No Logout"/>
    <n v="0"/>
    <s v=""/>
    <s v="Absent"/>
    <s v="N/A"/>
    <s v="⚠ Mismatch"/>
    <x v="1"/>
  </r>
  <r>
    <s v="EMP024"/>
    <s v="Maheswari"/>
    <x v="3"/>
    <x v="7"/>
    <x v="0"/>
    <s v="09:20"/>
    <s v="19:00"/>
    <n v="9.6666666666666661"/>
    <s v="Late"/>
    <s v="Full Day"/>
    <s v="Full Day"/>
    <s v="✓ Match"/>
    <x v="0"/>
  </r>
  <r>
    <s v="EMP011"/>
    <s v="Ajay Rao"/>
    <x v="3"/>
    <x v="7"/>
    <x v="0"/>
    <s v="10:05"/>
    <s v="20:30"/>
    <n v="10.416666666666666"/>
    <s v="Late"/>
    <s v="Full Day"/>
    <s v="Full Day"/>
    <s v="✓ Match"/>
    <x v="0"/>
  </r>
  <r>
    <s v="EMP001"/>
    <s v="Arun Kumar"/>
    <x v="2"/>
    <x v="7"/>
    <x v="1"/>
    <s v="No Login"/>
    <s v="No Logout"/>
    <n v="0"/>
    <s v=""/>
    <s v="Absent"/>
    <s v="N/A"/>
    <s v="⚠ Mismatch"/>
    <x v="1"/>
  </r>
  <r>
    <s v="EMP013"/>
    <s v="Ramesh"/>
    <x v="0"/>
    <x v="7"/>
    <x v="0"/>
    <s v="09:00"/>
    <s v="19:15"/>
    <n v="10.25"/>
    <s v="On Time"/>
    <s v="Full Day"/>
    <s v="Full Day"/>
    <s v="✓ Match"/>
    <x v="0"/>
  </r>
  <r>
    <s v="EMP009"/>
    <s v="Suresh Babu"/>
    <x v="2"/>
    <x v="7"/>
    <x v="0"/>
    <s v="08:05"/>
    <s v="20:30"/>
    <n v="12.416666666666664"/>
    <s v="On Time"/>
    <s v="Full Day"/>
    <s v="Full Day"/>
    <s v="✓ Match"/>
    <x v="0"/>
  </r>
  <r>
    <s v="EMP019"/>
    <s v="Rohit Malhotra"/>
    <x v="4"/>
    <x v="8"/>
    <x v="0"/>
    <s v="08:30"/>
    <s v="18:30"/>
    <n v="10"/>
    <s v="On Time"/>
    <s v="Full Day"/>
    <s v="Full Day"/>
    <s v="✓ Match"/>
    <x v="0"/>
  </r>
  <r>
    <s v="EMP021"/>
    <s v="Nitin Sharma"/>
    <x v="0"/>
    <x v="8"/>
    <x v="2"/>
    <s v="10:15"/>
    <s v="17:45"/>
    <n v="7.5000000000000018"/>
    <s v="Late"/>
    <s v="Half Day"/>
    <s v="Half Day"/>
    <s v="✓ Match"/>
    <x v="0"/>
  </r>
  <r>
    <s v="EMP025"/>
    <s v="Varun Sethi"/>
    <x v="2"/>
    <x v="8"/>
    <x v="0"/>
    <s v="09:20"/>
    <s v="20:10"/>
    <n v="10.833333333333334"/>
    <s v="Late"/>
    <s v="Full Day"/>
    <s v="Full Day"/>
    <s v="✓ Match"/>
    <x v="0"/>
  </r>
  <r>
    <s v="EMP024"/>
    <s v="Maheswari"/>
    <x v="3"/>
    <x v="8"/>
    <x v="0"/>
    <s v="08:10"/>
    <s v="17:20"/>
    <n v="9.1666666666666679"/>
    <s v="On Time"/>
    <s v="Full Day"/>
    <s v="Full Day"/>
    <s v="✓ Match"/>
    <x v="0"/>
  </r>
  <r>
    <s v="EMP020"/>
    <s v="Lakshmi Devi"/>
    <x v="0"/>
    <x v="8"/>
    <x v="0"/>
    <s v="08:30"/>
    <s v="20:15"/>
    <n v="11.75"/>
    <s v="On Time"/>
    <s v="Full Day"/>
    <s v="Full Day"/>
    <s v="✓ Match"/>
    <x v="0"/>
  </r>
  <r>
    <s v="EMP017"/>
    <s v="Deepak"/>
    <x v="2"/>
    <x v="8"/>
    <x v="1"/>
    <s v="No Login"/>
    <s v="No Logout"/>
    <n v="0"/>
    <s v=""/>
    <s v="Absent"/>
    <s v="N/A"/>
    <s v="⚠ Mismatch"/>
    <x v="1"/>
  </r>
  <r>
    <s v="EMP008"/>
    <s v="Divya"/>
    <x v="1"/>
    <x v="8"/>
    <x v="0"/>
    <s v="09:45"/>
    <s v="19:20"/>
    <n v="9.5833333333333321"/>
    <s v="Late"/>
    <s v="Full Day"/>
    <s v="Full Day"/>
    <s v="✓ Match"/>
    <x v="0"/>
  </r>
  <r>
    <s v="EMP027"/>
    <s v="Ashok Kumar"/>
    <x v="0"/>
    <x v="8"/>
    <x v="1"/>
    <s v="No Login"/>
    <s v="No Logout"/>
    <n v="0"/>
    <s v=""/>
    <s v="Absent"/>
    <s v="N/A"/>
    <s v="⚠ Mismatch"/>
    <x v="1"/>
  </r>
  <r>
    <s v="EMP001"/>
    <s v="Arun Kumar"/>
    <x v="2"/>
    <x v="8"/>
    <x v="1"/>
    <s v="No Login"/>
    <s v="No Logout"/>
    <n v="0"/>
    <s v=""/>
    <s v="Absent"/>
    <s v="N/A"/>
    <s v="⚠ Mismatch"/>
    <x v="1"/>
  </r>
  <r>
    <s v="EMP028"/>
    <s v="Naveen Raj"/>
    <x v="1"/>
    <x v="8"/>
    <x v="0"/>
    <s v="09:05"/>
    <s v="19:45"/>
    <n v="10.666666666666664"/>
    <s v="Late"/>
    <s v="Full Day"/>
    <s v="Full Day"/>
    <s v="✓ Match"/>
    <x v="0"/>
  </r>
  <r>
    <s v="EMP010"/>
    <s v="Meena"/>
    <x v="3"/>
    <x v="8"/>
    <x v="2"/>
    <s v="08:20"/>
    <s v="17:00"/>
    <n v="8.6666666666666661"/>
    <s v="On Time"/>
    <s v="Full Day"/>
    <s v="Full Day"/>
    <s v="✓ Match"/>
    <x v="0"/>
  </r>
  <r>
    <s v="EMP013"/>
    <s v="Ramesh"/>
    <x v="0"/>
    <x v="8"/>
    <x v="0"/>
    <s v="10:05"/>
    <s v="17:20"/>
    <n v="7.25"/>
    <s v="Late"/>
    <s v="Half Day"/>
    <s v="Half Day"/>
    <s v="✓ Match"/>
    <x v="0"/>
  </r>
  <r>
    <s v="EMP002"/>
    <s v="Priya Sharma"/>
    <x v="0"/>
    <x v="8"/>
    <x v="0"/>
    <s v="10:15"/>
    <s v="19:30"/>
    <n v="9.25"/>
    <s v="Late"/>
    <s v="Full Day"/>
    <s v="Full Day"/>
    <s v="✓ Match"/>
    <x v="0"/>
  </r>
  <r>
    <s v="EMP018"/>
    <s v="Aisha Khan"/>
    <x v="0"/>
    <x v="8"/>
    <x v="1"/>
    <s v="No Login"/>
    <s v="No Logout"/>
    <n v="0"/>
    <s v=""/>
    <s v="Absent"/>
    <s v="N/A"/>
    <s v="⚠ Mismatch"/>
    <x v="1"/>
  </r>
  <r>
    <s v="EMP016"/>
    <s v="Kavya Menon"/>
    <x v="1"/>
    <x v="8"/>
    <x v="1"/>
    <s v="No Login"/>
    <s v="No Logout"/>
    <n v="0"/>
    <s v=""/>
    <s v="Absent"/>
    <s v="N/A"/>
    <s v="⚠ Mismatch"/>
    <x v="1"/>
  </r>
  <r>
    <s v="EMP023"/>
    <s v="Harish Kumar"/>
    <x v="2"/>
    <x v="8"/>
    <x v="0"/>
    <s v="08:10"/>
    <s v="15:00"/>
    <n v="6.8333333333333339"/>
    <s v="On Time"/>
    <s v="Half Day"/>
    <s v="Half Day"/>
    <s v="✓ Match"/>
    <x v="0"/>
  </r>
  <r>
    <s v="EMP003"/>
    <s v="Rahul Verma"/>
    <x v="2"/>
    <x v="8"/>
    <x v="0"/>
    <s v="08:30"/>
    <s v="17:30"/>
    <n v="8.9999999999999982"/>
    <s v="On Time"/>
    <s v="Full Day"/>
    <s v="Full Day"/>
    <s v="✓ Match"/>
    <x v="0"/>
  </r>
  <r>
    <s v="EMP004"/>
    <s v="Sneha Reddy"/>
    <x v="0"/>
    <x v="8"/>
    <x v="0"/>
    <s v="09:45"/>
    <s v="17:20"/>
    <n v="7.583333333333333"/>
    <s v="Late"/>
    <s v="Half Day"/>
    <s v="Half Day"/>
    <s v="✓ Match"/>
    <x v="0"/>
  </r>
  <r>
    <s v="EMP012"/>
    <s v="Pooja Das"/>
    <x v="0"/>
    <x v="8"/>
    <x v="0"/>
    <s v="09:15"/>
    <s v="16:45"/>
    <n v="7.4999999999999982"/>
    <s v="Late"/>
    <s v="Half Day"/>
    <s v="Half Day"/>
    <s v="✓ Match"/>
    <x v="0"/>
  </r>
  <r>
    <s v="EMP009"/>
    <s v="Suresh Babu"/>
    <x v="2"/>
    <x v="8"/>
    <x v="2"/>
    <s v="10:30"/>
    <s v="18:20"/>
    <n v="7.8333333333333321"/>
    <s v="Late"/>
    <s v="Half Day"/>
    <s v="Half Day"/>
    <s v="✓ Match"/>
    <x v="0"/>
  </r>
  <r>
    <s v="EMP022"/>
    <s v="Swathi Rao"/>
    <x v="4"/>
    <x v="8"/>
    <x v="1"/>
    <s v="No Login"/>
    <s v="No Logout"/>
    <n v="0"/>
    <s v=""/>
    <s v="Absent"/>
    <s v="N/A"/>
    <s v="⚠ Mismatch"/>
    <x v="1"/>
  </r>
  <r>
    <s v="EMP030"/>
    <s v="Mohit Agarwal"/>
    <x v="1"/>
    <x v="8"/>
    <x v="0"/>
    <s v="08:15"/>
    <s v="17:30"/>
    <n v="9.25"/>
    <s v="On Time"/>
    <s v="Full Day"/>
    <s v="Full Day"/>
    <s v="✓ Match"/>
    <x v="0"/>
  </r>
  <r>
    <s v="EMP026"/>
    <s v="Gayathri S"/>
    <x v="1"/>
    <x v="8"/>
    <x v="0"/>
    <s v="08:45"/>
    <s v="18:30"/>
    <n v="9.7500000000000018"/>
    <s v="On Time"/>
    <s v="Full Day"/>
    <s v="Full Day"/>
    <s v="✓ Match"/>
    <x v="0"/>
  </r>
  <r>
    <s v="EMP011"/>
    <s v="Ajay Rao"/>
    <x v="3"/>
    <x v="8"/>
    <x v="1"/>
    <s v="No Login"/>
    <s v="No Logout"/>
    <n v="0"/>
    <s v=""/>
    <s v="Absent"/>
    <s v="N/A"/>
    <s v="⚠ Mismatch"/>
    <x v="1"/>
  </r>
  <r>
    <s v="EMP005"/>
    <s v="Vijay"/>
    <x v="1"/>
    <x v="8"/>
    <x v="0"/>
    <s v="08:20"/>
    <s v="19:20"/>
    <n v="10.999999999999996"/>
    <s v="On Time"/>
    <s v="Full Day"/>
    <s v="Full Day"/>
    <s v="✓ Match"/>
    <x v="0"/>
  </r>
  <r>
    <s v="EMP029"/>
    <s v="Sanjana Roy"/>
    <x v="1"/>
    <x v="8"/>
    <x v="0"/>
    <s v="08:00"/>
    <s v="18:15"/>
    <n v="10.25"/>
    <s v="On Time"/>
    <s v="Full Day"/>
    <s v="Full Day"/>
    <s v="✓ Match"/>
    <x v="0"/>
  </r>
  <r>
    <s v="EMP007"/>
    <s v="Karan Patel"/>
    <x v="3"/>
    <x v="8"/>
    <x v="0"/>
    <s v="08:45"/>
    <s v="18:00"/>
    <n v="9.25"/>
    <s v="On Time"/>
    <s v="Full Day"/>
    <s v="Full Day"/>
    <s v="✓ Match"/>
    <x v="0"/>
  </r>
  <r>
    <s v="EMP006"/>
    <s v="Anjali"/>
    <x v="1"/>
    <x v="8"/>
    <x v="0"/>
    <s v="08:05"/>
    <s v="20:10"/>
    <n v="12.083333333333332"/>
    <s v="On Time"/>
    <s v="Full Day"/>
    <s v="Full Day"/>
    <s v="✓ Match"/>
    <x v="0"/>
  </r>
  <r>
    <s v="EMP015"/>
    <s v="Manoj"/>
    <x v="3"/>
    <x v="8"/>
    <x v="0"/>
    <s v="09:15"/>
    <s v="20:00"/>
    <n v="10.75"/>
    <s v="Late"/>
    <s v="Full Day"/>
    <s v="Full Day"/>
    <s v="✓ Match"/>
    <x v="0"/>
  </r>
  <r>
    <s v="EMP014"/>
    <s v="Neha"/>
    <x v="0"/>
    <x v="8"/>
    <x v="1"/>
    <s v="No Login"/>
    <s v="No Logout"/>
    <n v="0"/>
    <s v=""/>
    <s v="Absent"/>
    <s v="N/A"/>
    <s v="⚠ Mismatch"/>
    <x v="1"/>
  </r>
  <r>
    <s v="EMP010"/>
    <s v="Meena"/>
    <x v="3"/>
    <x v="9"/>
    <x v="0"/>
    <s v="08:10"/>
    <s v="20:45"/>
    <n v="12.583333333333334"/>
    <s v="On Time"/>
    <s v="Full Day"/>
    <s v="Full Day"/>
    <s v="✓ Match"/>
    <x v="0"/>
  </r>
  <r>
    <s v="EMP026"/>
    <s v="Gayathri S"/>
    <x v="1"/>
    <x v="9"/>
    <x v="0"/>
    <s v="08:45"/>
    <s v="18:45"/>
    <n v="10"/>
    <s v="On Time"/>
    <s v="Full Day"/>
    <s v="Full Day"/>
    <s v="✓ Match"/>
    <x v="0"/>
  </r>
  <r>
    <s v="EMP003"/>
    <s v="Rahul Verma"/>
    <x v="2"/>
    <x v="9"/>
    <x v="0"/>
    <s v="09:15"/>
    <s v="16:10"/>
    <n v="6.9166666666666679"/>
    <s v="Late"/>
    <s v="Half Day"/>
    <s v="Half Day"/>
    <s v="✓ Match"/>
    <x v="0"/>
  </r>
  <r>
    <s v="EMP001"/>
    <s v="Arun Kumar"/>
    <x v="2"/>
    <x v="9"/>
    <x v="0"/>
    <s v="11:30"/>
    <s v="20:20"/>
    <n v="8.8333333333333321"/>
    <s v="Late"/>
    <s v="Full Day"/>
    <s v="Full Day"/>
    <s v="✓ Match"/>
    <x v="0"/>
  </r>
  <r>
    <s v="EMP023"/>
    <s v="Harish Kumar"/>
    <x v="2"/>
    <x v="9"/>
    <x v="0"/>
    <s v="09:30"/>
    <s v="18:30"/>
    <n v="9.0000000000000018"/>
    <s v="Late"/>
    <s v="Full Day"/>
    <s v="Full Day"/>
    <s v="✓ Match"/>
    <x v="0"/>
  </r>
  <r>
    <s v="EMP027"/>
    <s v="Ashok Kumar"/>
    <x v="0"/>
    <x v="9"/>
    <x v="0"/>
    <s v="09:05"/>
    <s v="16:00"/>
    <n v="6.9166666666666643"/>
    <s v="Late"/>
    <s v="Half Day"/>
    <s v="Half Day"/>
    <s v="✓ Match"/>
    <x v="0"/>
  </r>
  <r>
    <s v="EMP013"/>
    <s v="Ramesh"/>
    <x v="0"/>
    <x v="9"/>
    <x v="0"/>
    <s v="08:30"/>
    <s v="20:00"/>
    <n v="11.5"/>
    <s v="On Time"/>
    <s v="Full Day"/>
    <s v="Full Day"/>
    <s v="✓ Match"/>
    <x v="0"/>
  </r>
  <r>
    <s v="EMP005"/>
    <s v="Vijay"/>
    <x v="1"/>
    <x v="9"/>
    <x v="0"/>
    <s v="10:15"/>
    <s v="19:00"/>
    <n v="8.75"/>
    <s v="Late"/>
    <s v="Full Day"/>
    <s v="Full Day"/>
    <s v="✓ Match"/>
    <x v="0"/>
  </r>
  <r>
    <s v="EMP016"/>
    <s v="Kavya Menon"/>
    <x v="1"/>
    <x v="9"/>
    <x v="0"/>
    <s v="08:20"/>
    <s v="17:30"/>
    <n v="9.1666666666666643"/>
    <s v="On Time"/>
    <s v="Full Day"/>
    <s v="Full Day"/>
    <s v="✓ Match"/>
    <x v="0"/>
  </r>
  <r>
    <s v="EMP007"/>
    <s v="Karan Patel"/>
    <x v="3"/>
    <x v="9"/>
    <x v="1"/>
    <s v="No Login"/>
    <s v="No Logout"/>
    <n v="0"/>
    <s v=""/>
    <s v="Absent"/>
    <s v="N/A"/>
    <s v="⚠ Mismatch"/>
    <x v="1"/>
  </r>
  <r>
    <s v="EMP011"/>
    <s v="Ajay Rao"/>
    <x v="3"/>
    <x v="9"/>
    <x v="1"/>
    <s v="No Login"/>
    <s v="No Logout"/>
    <n v="0"/>
    <s v=""/>
    <s v="Absent"/>
    <s v="N/A"/>
    <s v="⚠ Mismatch"/>
    <x v="1"/>
  </r>
  <r>
    <s v="EMP028"/>
    <s v="Naveen Raj"/>
    <x v="1"/>
    <x v="9"/>
    <x v="0"/>
    <s v="09:00"/>
    <s v="17:30"/>
    <n v="8.5"/>
    <s v="On Time"/>
    <s v="Full Day"/>
    <s v="Full Day"/>
    <s v="✓ Match"/>
    <x v="0"/>
  </r>
  <r>
    <s v="EMP018"/>
    <s v="Aisha Khan"/>
    <x v="0"/>
    <x v="9"/>
    <x v="2"/>
    <s v="08:45"/>
    <s v="17:00"/>
    <n v="8.2500000000000018"/>
    <s v="On Time"/>
    <s v="Full Day"/>
    <s v="Full Day"/>
    <s v="✓ Match"/>
    <x v="0"/>
  </r>
  <r>
    <s v="EMP019"/>
    <s v="Rohit Malhotra"/>
    <x v="4"/>
    <x v="9"/>
    <x v="0"/>
    <s v="08:45"/>
    <s v="16:45"/>
    <n v="8"/>
    <s v="On Time"/>
    <s v="Full Day"/>
    <s v="Full Day"/>
    <s v="✓ Match"/>
    <x v="0"/>
  </r>
  <r>
    <s v="EMP021"/>
    <s v="Nitin Sharma"/>
    <x v="0"/>
    <x v="9"/>
    <x v="2"/>
    <s v="11:45"/>
    <s v="20:15"/>
    <n v="8.5"/>
    <s v="Late"/>
    <s v="Full Day"/>
    <s v="Full Day"/>
    <s v="✓ Match"/>
    <x v="0"/>
  </r>
  <r>
    <s v="EMP025"/>
    <s v="Varun Sethi"/>
    <x v="2"/>
    <x v="9"/>
    <x v="0"/>
    <s v="08:20"/>
    <s v="17:30"/>
    <n v="9.1666666666666643"/>
    <s v="On Time"/>
    <s v="Full Day"/>
    <s v="Full Day"/>
    <s v="✓ Match"/>
    <x v="0"/>
  </r>
  <r>
    <s v="EMP004"/>
    <s v="Sneha Reddy"/>
    <x v="0"/>
    <x v="9"/>
    <x v="0"/>
    <s v="09:10"/>
    <s v="20:15"/>
    <n v="11.083333333333334"/>
    <s v="Late"/>
    <s v="Full Day"/>
    <s v="Full Day"/>
    <s v="✓ Match"/>
    <x v="0"/>
  </r>
  <r>
    <s v="EMP030"/>
    <s v="Mohit Agarwal"/>
    <x v="1"/>
    <x v="9"/>
    <x v="2"/>
    <s v="09:30"/>
    <s v="20:10"/>
    <n v="10.666666666666668"/>
    <s v="Late"/>
    <s v="Full Day"/>
    <s v="Full Day"/>
    <s v="✓ Match"/>
    <x v="0"/>
  </r>
  <r>
    <s v="EMP015"/>
    <s v="Manoj"/>
    <x v="3"/>
    <x v="9"/>
    <x v="0"/>
    <s v="10:30"/>
    <s v="17:00"/>
    <n v="6.5000000000000009"/>
    <s v="Late"/>
    <s v="Half Day"/>
    <s v="Half Day"/>
    <s v="✓ Match"/>
    <x v="0"/>
  </r>
  <r>
    <s v="EMP012"/>
    <s v="Pooja Das"/>
    <x v="0"/>
    <x v="9"/>
    <x v="1"/>
    <s v="No Login"/>
    <s v="No Logout"/>
    <n v="0"/>
    <s v=""/>
    <s v="Absent"/>
    <s v="N/A"/>
    <s v="⚠ Mismatch"/>
    <x v="1"/>
  </r>
  <r>
    <s v="EMP002"/>
    <s v="Priya Sharma"/>
    <x v="0"/>
    <x v="9"/>
    <x v="1"/>
    <s v="No Login"/>
    <s v="No Logout"/>
    <n v="0"/>
    <s v=""/>
    <s v="Absent"/>
    <s v="N/A"/>
    <s v="⚠ Mismatch"/>
    <x v="1"/>
  </r>
  <r>
    <s v="EMP017"/>
    <s v="Deepak"/>
    <x v="2"/>
    <x v="9"/>
    <x v="0"/>
    <s v="08:05"/>
    <s v="17:20"/>
    <n v="9.25"/>
    <s v="On Time"/>
    <s v="Full Day"/>
    <s v="Full Day"/>
    <s v="✓ Match"/>
    <x v="0"/>
  </r>
  <r>
    <s v="EMP029"/>
    <s v="Sanjana Roy"/>
    <x v="1"/>
    <x v="9"/>
    <x v="0"/>
    <s v="09:30"/>
    <s v="20:45"/>
    <n v="11.250000000000002"/>
    <s v="Late"/>
    <s v="Full Day"/>
    <s v="Full Day"/>
    <s v="✓ Match"/>
    <x v="0"/>
  </r>
  <r>
    <s v="EMP020"/>
    <s v="Lakshmi Devi"/>
    <x v="0"/>
    <x v="9"/>
    <x v="1"/>
    <s v="No Login"/>
    <s v="No Logout"/>
    <n v="0"/>
    <s v=""/>
    <s v="Absent"/>
    <s v="N/A"/>
    <s v="⚠ Mismatch"/>
    <x v="1"/>
  </r>
  <r>
    <s v="EMP008"/>
    <s v="Divya"/>
    <x v="1"/>
    <x v="9"/>
    <x v="1"/>
    <s v="No Login"/>
    <s v="No Logout"/>
    <n v="0"/>
    <s v=""/>
    <s v="Absent"/>
    <s v="N/A"/>
    <s v="⚠ Mismatch"/>
    <x v="1"/>
  </r>
  <r>
    <s v="EMP009"/>
    <s v="Suresh Babu"/>
    <x v="2"/>
    <x v="9"/>
    <x v="2"/>
    <s v="10:05"/>
    <s v="20:15"/>
    <n v="10.166666666666666"/>
    <s v="Late"/>
    <s v="Full Day"/>
    <s v="Full Day"/>
    <s v="✓ Match"/>
    <x v="0"/>
  </r>
  <r>
    <s v="EMP006"/>
    <s v="Anjali"/>
    <x v="1"/>
    <x v="9"/>
    <x v="0"/>
    <s v="09:30"/>
    <s v="16:30"/>
    <n v="7"/>
    <s v="Late"/>
    <s v="Half Day"/>
    <s v="Half Day"/>
    <s v="✓ Match"/>
    <x v="0"/>
  </r>
  <r>
    <s v="EMP024"/>
    <s v="Maheswari"/>
    <x v="3"/>
    <x v="9"/>
    <x v="0"/>
    <s v="09:10"/>
    <s v="16:45"/>
    <n v="7.583333333333333"/>
    <s v="Late"/>
    <s v="Half Day"/>
    <s v="Half Day"/>
    <s v="✓ Match"/>
    <x v="0"/>
  </r>
  <r>
    <s v="EMP022"/>
    <s v="Swathi Rao"/>
    <x v="4"/>
    <x v="9"/>
    <x v="0"/>
    <s v="09:10"/>
    <s v="20:00"/>
    <n v="10.833333333333336"/>
    <s v="Late"/>
    <s v="Full Day"/>
    <s v="Full Day"/>
    <s v="✓ Match"/>
    <x v="0"/>
  </r>
  <r>
    <s v="EMP014"/>
    <s v="Neha"/>
    <x v="0"/>
    <x v="9"/>
    <x v="0"/>
    <s v="09:20"/>
    <s v="18:45"/>
    <n v="9.4166666666666661"/>
    <s v="Late"/>
    <s v="Full Day"/>
    <s v="Full Day"/>
    <s v="✓ Match"/>
    <x v="0"/>
  </r>
  <r>
    <s v="EMP014"/>
    <s v="Neha"/>
    <x v="0"/>
    <x v="10"/>
    <x v="0"/>
    <s v="08:30"/>
    <s v="15:10"/>
    <n v="6.6666666666666661"/>
    <s v="On Time"/>
    <s v="Half Day"/>
    <s v="Half Day"/>
    <s v="✓ Match"/>
    <x v="0"/>
  </r>
  <r>
    <s v="EMP007"/>
    <s v="Karan Patel"/>
    <x v="3"/>
    <x v="10"/>
    <x v="1"/>
    <s v="No Login"/>
    <s v="No Logout"/>
    <n v="0"/>
    <s v=""/>
    <s v="Absent"/>
    <s v="N/A"/>
    <s v="⚠ Mismatch"/>
    <x v="1"/>
  </r>
  <r>
    <s v="EMP013"/>
    <s v="Ramesh"/>
    <x v="0"/>
    <x v="10"/>
    <x v="0"/>
    <s v="08:05"/>
    <s v="16:30"/>
    <n v="8.4166666666666661"/>
    <s v="On Time"/>
    <s v="Full Day"/>
    <s v="Full Day"/>
    <s v="✓ Match"/>
    <x v="0"/>
  </r>
  <r>
    <s v="EMP024"/>
    <s v="Maheswari"/>
    <x v="3"/>
    <x v="10"/>
    <x v="0"/>
    <s v="09:20"/>
    <s v="20:15"/>
    <n v="10.916666666666666"/>
    <s v="Late"/>
    <s v="Full Day"/>
    <s v="Full Day"/>
    <s v="✓ Match"/>
    <x v="0"/>
  </r>
  <r>
    <s v="EMP021"/>
    <s v="Nitin Sharma"/>
    <x v="0"/>
    <x v="10"/>
    <x v="1"/>
    <s v="No Login"/>
    <s v="No Logout"/>
    <n v="0"/>
    <s v=""/>
    <s v="Absent"/>
    <s v="N/A"/>
    <s v="⚠ Mismatch"/>
    <x v="1"/>
  </r>
  <r>
    <s v="EMP011"/>
    <s v="Ajay Rao"/>
    <x v="3"/>
    <x v="10"/>
    <x v="1"/>
    <s v="No Login"/>
    <s v="No Logout"/>
    <n v="0"/>
    <s v=""/>
    <s v="Absent"/>
    <s v="N/A"/>
    <s v="⚠ Mismatch"/>
    <x v="1"/>
  </r>
  <r>
    <s v="EMP029"/>
    <s v="Sanjana Roy"/>
    <x v="1"/>
    <x v="10"/>
    <x v="0"/>
    <s v="08:15"/>
    <s v="17:45"/>
    <n v="9.5"/>
    <s v="On Time"/>
    <s v="Full Day"/>
    <s v="Full Day"/>
    <s v="✓ Match"/>
    <x v="0"/>
  </r>
  <r>
    <s v="EMP020"/>
    <s v="Lakshmi Devi"/>
    <x v="0"/>
    <x v="10"/>
    <x v="0"/>
    <s v="09:00"/>
    <s v="16:20"/>
    <n v="7.3333333333333313"/>
    <s v="On Time"/>
    <s v="Half Day"/>
    <s v="Half Day"/>
    <s v="✓ Match"/>
    <x v="0"/>
  </r>
  <r>
    <s v="EMP005"/>
    <s v="Vijay"/>
    <x v="1"/>
    <x v="10"/>
    <x v="0"/>
    <s v="08:00"/>
    <s v="18:00"/>
    <n v="10"/>
    <s v="On Time"/>
    <s v="Full Day"/>
    <s v="Full Day"/>
    <s v="✓ Match"/>
    <x v="0"/>
  </r>
  <r>
    <s v="EMP008"/>
    <s v="Divya"/>
    <x v="1"/>
    <x v="10"/>
    <x v="0"/>
    <s v="08:20"/>
    <s v="16:00"/>
    <n v="7.6666666666666643"/>
    <s v="On Time"/>
    <s v="Half Day"/>
    <s v="Half Day"/>
    <s v="✓ Match"/>
    <x v="0"/>
  </r>
  <r>
    <s v="EMP023"/>
    <s v="Harish Kumar"/>
    <x v="2"/>
    <x v="10"/>
    <x v="2"/>
    <s v="08:30"/>
    <s v="15:00"/>
    <n v="6.5"/>
    <s v="On Time"/>
    <s v="Half Day"/>
    <s v="Half Day"/>
    <s v="✓ Match"/>
    <x v="0"/>
  </r>
  <r>
    <s v="EMP010"/>
    <s v="Meena"/>
    <x v="3"/>
    <x v="10"/>
    <x v="0"/>
    <s v="09:45"/>
    <s v="17:15"/>
    <n v="7.5"/>
    <s v="Late"/>
    <s v="Half Day"/>
    <s v="Half Day"/>
    <s v="✓ Match"/>
    <x v="0"/>
  </r>
  <r>
    <s v="EMP002"/>
    <s v="Priya Sharma"/>
    <x v="0"/>
    <x v="10"/>
    <x v="0"/>
    <s v="11:00"/>
    <s v="20:15"/>
    <n v="9.25"/>
    <s v="Late"/>
    <s v="Full Day"/>
    <s v="Full Day"/>
    <s v="✓ Match"/>
    <x v="0"/>
  </r>
  <r>
    <s v="EMP027"/>
    <s v="Ashok Kumar"/>
    <x v="0"/>
    <x v="10"/>
    <x v="0"/>
    <s v="10:30"/>
    <s v="18:20"/>
    <n v="7.8333333333333321"/>
    <s v="Late"/>
    <s v="Half Day"/>
    <s v="Half Day"/>
    <s v="✓ Match"/>
    <x v="0"/>
  </r>
  <r>
    <s v="EMP004"/>
    <s v="Sneha Reddy"/>
    <x v="0"/>
    <x v="10"/>
    <x v="2"/>
    <s v="09:30"/>
    <s v="18:00"/>
    <n v="8.5"/>
    <s v="Late"/>
    <s v="Full Day"/>
    <s v="Full Day"/>
    <s v="✓ Match"/>
    <x v="0"/>
  </r>
  <r>
    <s v="EMP006"/>
    <s v="Anjali"/>
    <x v="1"/>
    <x v="10"/>
    <x v="0"/>
    <s v="09:20"/>
    <s v="16:00"/>
    <n v="6.6666666666666661"/>
    <s v="Late"/>
    <s v="Half Day"/>
    <s v="Half Day"/>
    <s v="✓ Match"/>
    <x v="0"/>
  </r>
  <r>
    <s v="EMP001"/>
    <s v="Arun Kumar"/>
    <x v="2"/>
    <x v="10"/>
    <x v="2"/>
    <s v="09:45"/>
    <s v="19:30"/>
    <n v="9.75"/>
    <s v="Late"/>
    <s v="Full Day"/>
    <s v="Full Day"/>
    <s v="✓ Match"/>
    <x v="0"/>
  </r>
  <r>
    <s v="EMP016"/>
    <s v="Kavya Menon"/>
    <x v="1"/>
    <x v="10"/>
    <x v="0"/>
    <s v="08:05"/>
    <s v="20:20"/>
    <n v="12.25"/>
    <s v="On Time"/>
    <s v="Full Day"/>
    <s v="Full Day"/>
    <s v="✓ Match"/>
    <x v="0"/>
  </r>
  <r>
    <s v="EMP022"/>
    <s v="Swathi Rao"/>
    <x v="4"/>
    <x v="10"/>
    <x v="0"/>
    <s v="08:30"/>
    <s v="18:00"/>
    <n v="9.5"/>
    <s v="On Time"/>
    <s v="Full Day"/>
    <s v="Full Day"/>
    <s v="✓ Match"/>
    <x v="0"/>
  </r>
  <r>
    <s v="EMP026"/>
    <s v="Gayathri S"/>
    <x v="1"/>
    <x v="10"/>
    <x v="0"/>
    <s v="08:30"/>
    <s v="15:45"/>
    <n v="7.25"/>
    <s v="On Time"/>
    <s v="Half Day"/>
    <s v="Half Day"/>
    <s v="✓ Match"/>
    <x v="0"/>
  </r>
  <r>
    <s v="EMP015"/>
    <s v="Manoj"/>
    <x v="3"/>
    <x v="10"/>
    <x v="0"/>
    <s v="10:05"/>
    <s v="20:15"/>
    <n v="10.166666666666666"/>
    <s v="Late"/>
    <s v="Full Day"/>
    <s v="Full Day"/>
    <s v="✓ Match"/>
    <x v="0"/>
  </r>
  <r>
    <s v="EMP012"/>
    <s v="Pooja Das"/>
    <x v="0"/>
    <x v="10"/>
    <x v="1"/>
    <s v="No Login"/>
    <s v="No Logout"/>
    <n v="0"/>
    <s v=""/>
    <s v="Absent"/>
    <s v="N/A"/>
    <s v="⚠ Mismatch"/>
    <x v="1"/>
  </r>
  <r>
    <s v="EMP019"/>
    <s v="Rohit Malhotra"/>
    <x v="4"/>
    <x v="10"/>
    <x v="0"/>
    <s v="10:45"/>
    <s v="20:30"/>
    <n v="9.7499999999999982"/>
    <s v="Late"/>
    <s v="Full Day"/>
    <s v="Full Day"/>
    <s v="✓ Match"/>
    <x v="0"/>
  </r>
  <r>
    <s v="EMP028"/>
    <s v="Naveen Raj"/>
    <x v="1"/>
    <x v="10"/>
    <x v="0"/>
    <s v="08:10"/>
    <s v="18:20"/>
    <n v="10.166666666666666"/>
    <s v="On Time"/>
    <s v="Full Day"/>
    <s v="Full Day"/>
    <s v="✓ Match"/>
    <x v="0"/>
  </r>
  <r>
    <s v="EMP030"/>
    <s v="Mohit Agarwal"/>
    <x v="1"/>
    <x v="10"/>
    <x v="0"/>
    <s v="11:30"/>
    <s v="20:00"/>
    <n v="8.5"/>
    <s v="Late"/>
    <s v="Full Day"/>
    <s v="Full Day"/>
    <s v="✓ Match"/>
    <x v="0"/>
  </r>
  <r>
    <s v="EMP017"/>
    <s v="Deepak"/>
    <x v="2"/>
    <x v="10"/>
    <x v="0"/>
    <s v="10:15"/>
    <s v="20:15"/>
    <n v="10"/>
    <s v="Late"/>
    <s v="Full Day"/>
    <s v="Full Day"/>
    <s v="✓ Match"/>
    <x v="0"/>
  </r>
  <r>
    <s v="EMP018"/>
    <s v="Aisha Khan"/>
    <x v="0"/>
    <x v="10"/>
    <x v="0"/>
    <s v="08:20"/>
    <s v="16:30"/>
    <n v="8.1666666666666661"/>
    <s v="On Time"/>
    <s v="Full Day"/>
    <s v="Full Day"/>
    <s v="✓ Match"/>
    <x v="0"/>
  </r>
  <r>
    <s v="EMP025"/>
    <s v="Varun Sethi"/>
    <x v="2"/>
    <x v="10"/>
    <x v="0"/>
    <s v="09:10"/>
    <s v="19:30"/>
    <n v="10.333333333333334"/>
    <s v="Late"/>
    <s v="Full Day"/>
    <s v="Full Day"/>
    <s v="✓ Match"/>
    <x v="0"/>
  </r>
  <r>
    <s v="EMP003"/>
    <s v="Rahul Verma"/>
    <x v="2"/>
    <x v="10"/>
    <x v="0"/>
    <s v="09:05"/>
    <s v="18:00"/>
    <n v="8.9166666666666661"/>
    <s v="Late"/>
    <s v="Full Day"/>
    <s v="Full Day"/>
    <s v="✓ Match"/>
    <x v="0"/>
  </r>
  <r>
    <s v="EMP009"/>
    <s v="Suresh Babu"/>
    <x v="2"/>
    <x v="10"/>
    <x v="1"/>
    <s v="No Login"/>
    <s v="No Logout"/>
    <n v="0"/>
    <s v=""/>
    <s v="Absent"/>
    <s v="N/A"/>
    <s v="⚠ Mismatch"/>
    <x v="1"/>
  </r>
  <r>
    <s v="EMP016"/>
    <s v="Kavya Menon"/>
    <x v="1"/>
    <x v="11"/>
    <x v="1"/>
    <s v="No Login"/>
    <s v="No Logout"/>
    <n v="0"/>
    <s v=""/>
    <s v="Absent"/>
    <s v="N/A"/>
    <s v="⚠ Mismatch"/>
    <x v="1"/>
  </r>
  <r>
    <s v="EMP009"/>
    <s v="Suresh Babu"/>
    <x v="2"/>
    <x v="11"/>
    <x v="0"/>
    <s v="08:15"/>
    <s v="16:00"/>
    <n v="7.7499999999999991"/>
    <s v="On Time"/>
    <s v="Half Day"/>
    <s v="Half Day"/>
    <s v="✓ Match"/>
    <x v="0"/>
  </r>
  <r>
    <s v="EMP015"/>
    <s v="Manoj"/>
    <x v="3"/>
    <x v="11"/>
    <x v="0"/>
    <s v="08:30"/>
    <s v="15:00"/>
    <n v="6.5"/>
    <s v="On Time"/>
    <s v="Half Day"/>
    <s v="Half Day"/>
    <s v="✓ Match"/>
    <x v="0"/>
  </r>
  <r>
    <s v="EMP029"/>
    <s v="Sanjana Roy"/>
    <x v="1"/>
    <x v="11"/>
    <x v="0"/>
    <s v="09:00"/>
    <s v="18:00"/>
    <n v="9"/>
    <s v="On Time"/>
    <s v="Full Day"/>
    <s v="Full Day"/>
    <s v="✓ Match"/>
    <x v="0"/>
  </r>
  <r>
    <s v="EMP024"/>
    <s v="Maheswari"/>
    <x v="3"/>
    <x v="11"/>
    <x v="2"/>
    <s v="08:05"/>
    <s v="17:10"/>
    <n v="9.0833333333333321"/>
    <s v="On Time"/>
    <s v="Full Day"/>
    <s v="Full Day"/>
    <s v="✓ Match"/>
    <x v="0"/>
  </r>
  <r>
    <s v="EMP011"/>
    <s v="Ajay Rao"/>
    <x v="3"/>
    <x v="11"/>
    <x v="0"/>
    <s v="09:20"/>
    <s v="20:30"/>
    <n v="11.166666666666666"/>
    <s v="Late"/>
    <s v="Full Day"/>
    <s v="Full Day"/>
    <s v="✓ Match"/>
    <x v="0"/>
  </r>
  <r>
    <s v="EMP003"/>
    <s v="Rahul Verma"/>
    <x v="2"/>
    <x v="11"/>
    <x v="1"/>
    <s v="No Login"/>
    <s v="No Logout"/>
    <n v="0"/>
    <s v=""/>
    <s v="Absent"/>
    <s v="N/A"/>
    <s v="⚠ Mismatch"/>
    <x v="1"/>
  </r>
  <r>
    <s v="EMP018"/>
    <s v="Aisha Khan"/>
    <x v="0"/>
    <x v="11"/>
    <x v="0"/>
    <s v="08:20"/>
    <s v="19:00"/>
    <n v="10.666666666666664"/>
    <s v="On Time"/>
    <s v="Full Day"/>
    <s v="Full Day"/>
    <s v="✓ Match"/>
    <x v="0"/>
  </r>
  <r>
    <s v="EMP012"/>
    <s v="Pooja Das"/>
    <x v="0"/>
    <x v="11"/>
    <x v="0"/>
    <s v="09:20"/>
    <s v="20:45"/>
    <n v="11.416666666666668"/>
    <s v="Late"/>
    <s v="Full Day"/>
    <s v="Full Day"/>
    <s v="✓ Match"/>
    <x v="0"/>
  </r>
  <r>
    <s v="EMP021"/>
    <s v="Nitin Sharma"/>
    <x v="0"/>
    <x v="11"/>
    <x v="0"/>
    <s v="09:05"/>
    <s v="20:00"/>
    <n v="10.916666666666666"/>
    <s v="Late"/>
    <s v="Full Day"/>
    <s v="Full Day"/>
    <s v="✓ Match"/>
    <x v="0"/>
  </r>
  <r>
    <s v="EMP023"/>
    <s v="Harish Kumar"/>
    <x v="2"/>
    <x v="11"/>
    <x v="0"/>
    <s v="09:00"/>
    <s v="17:20"/>
    <n v="8.3333333333333321"/>
    <s v="On Time"/>
    <s v="Full Day"/>
    <s v="Full Day"/>
    <s v="✓ Match"/>
    <x v="0"/>
  </r>
  <r>
    <s v="EMP004"/>
    <s v="Sneha Reddy"/>
    <x v="0"/>
    <x v="11"/>
    <x v="0"/>
    <s v="09:20"/>
    <s v="20:15"/>
    <n v="10.916666666666666"/>
    <s v="Late"/>
    <s v="Full Day"/>
    <s v="Full Day"/>
    <s v="✓ Match"/>
    <x v="0"/>
  </r>
  <r>
    <s v="EMP027"/>
    <s v="Ashok Kumar"/>
    <x v="0"/>
    <x v="11"/>
    <x v="0"/>
    <s v="08:15"/>
    <s v="20:20"/>
    <n v="12.083333333333332"/>
    <s v="On Time"/>
    <s v="Full Day"/>
    <s v="Full Day"/>
    <s v="✓ Match"/>
    <x v="0"/>
  </r>
  <r>
    <s v="EMP008"/>
    <s v="Divya"/>
    <x v="1"/>
    <x v="11"/>
    <x v="2"/>
    <s v="09:10"/>
    <s v="16:30"/>
    <n v="7.3333333333333339"/>
    <s v="Late"/>
    <s v="Half Day"/>
    <s v="Half Day"/>
    <s v="✓ Match"/>
    <x v="0"/>
  </r>
  <r>
    <s v="EMP013"/>
    <s v="Ramesh"/>
    <x v="0"/>
    <x v="11"/>
    <x v="0"/>
    <s v="08:30"/>
    <s v="17:15"/>
    <n v="8.75"/>
    <s v="On Time"/>
    <s v="Full Day"/>
    <s v="Full Day"/>
    <s v="✓ Match"/>
    <x v="0"/>
  </r>
  <r>
    <s v="EMP019"/>
    <s v="Rohit Malhotra"/>
    <x v="4"/>
    <x v="11"/>
    <x v="2"/>
    <s v="08:45"/>
    <s v="19:00"/>
    <n v="10.25"/>
    <s v="On Time"/>
    <s v="Full Day"/>
    <s v="Full Day"/>
    <s v="✓ Match"/>
    <x v="0"/>
  </r>
  <r>
    <s v="EMP010"/>
    <s v="Meena"/>
    <x v="3"/>
    <x v="11"/>
    <x v="0"/>
    <s v="09:00"/>
    <s v="18:30"/>
    <n v="9.5"/>
    <s v="On Time"/>
    <s v="Full Day"/>
    <s v="Full Day"/>
    <s v="✓ Match"/>
    <x v="0"/>
  </r>
  <r>
    <s v="EMP028"/>
    <s v="Naveen Raj"/>
    <x v="1"/>
    <x v="11"/>
    <x v="0"/>
    <s v="09:30"/>
    <s v="17:30"/>
    <n v="8"/>
    <s v="Late"/>
    <s v="Full Day"/>
    <s v="Full Day"/>
    <s v="✓ Match"/>
    <x v="0"/>
  </r>
  <r>
    <s v="EMP007"/>
    <s v="Karan Patel"/>
    <x v="3"/>
    <x v="11"/>
    <x v="1"/>
    <s v="No Login"/>
    <s v="No Logout"/>
    <n v="0"/>
    <s v=""/>
    <s v="Absent"/>
    <s v="N/A"/>
    <s v="⚠ Mismatch"/>
    <x v="1"/>
  </r>
  <r>
    <s v="EMP002"/>
    <s v="Priya Sharma"/>
    <x v="0"/>
    <x v="11"/>
    <x v="1"/>
    <s v="No Login"/>
    <s v="No Logout"/>
    <n v="0"/>
    <s v=""/>
    <s v="Absent"/>
    <s v="N/A"/>
    <s v="⚠ Mismatch"/>
    <x v="1"/>
  </r>
  <r>
    <s v="EMP020"/>
    <s v="Lakshmi Devi"/>
    <x v="0"/>
    <x v="11"/>
    <x v="0"/>
    <s v="08:30"/>
    <s v="18:20"/>
    <n v="9.8333333333333321"/>
    <s v="On Time"/>
    <s v="Full Day"/>
    <s v="Full Day"/>
    <s v="✓ Match"/>
    <x v="0"/>
  </r>
  <r>
    <s v="EMP001"/>
    <s v="Arun Kumar"/>
    <x v="2"/>
    <x v="11"/>
    <x v="0"/>
    <s v="08:15"/>
    <s v="15:45"/>
    <n v="7.5"/>
    <s v="On Time"/>
    <s v="Half Day"/>
    <s v="Half Day"/>
    <s v="✓ Match"/>
    <x v="0"/>
  </r>
  <r>
    <s v="EMP022"/>
    <s v="Swathi Rao"/>
    <x v="4"/>
    <x v="11"/>
    <x v="0"/>
    <s v="08:30"/>
    <s v="20:30"/>
    <n v="11.999999999999998"/>
    <s v="On Time"/>
    <s v="Full Day"/>
    <s v="Full Day"/>
    <s v="✓ Match"/>
    <x v="0"/>
  </r>
  <r>
    <s v="EMP017"/>
    <s v="Deepak"/>
    <x v="2"/>
    <x v="11"/>
    <x v="0"/>
    <s v="09:10"/>
    <s v="17:15"/>
    <n v="8.0833333333333339"/>
    <s v="Late"/>
    <s v="Full Day"/>
    <s v="Full Day"/>
    <s v="✓ Match"/>
    <x v="0"/>
  </r>
  <r>
    <s v="EMP025"/>
    <s v="Varun Sethi"/>
    <x v="2"/>
    <x v="11"/>
    <x v="1"/>
    <s v="No Login"/>
    <s v="No Logout"/>
    <n v="0"/>
    <s v=""/>
    <s v="Absent"/>
    <s v="N/A"/>
    <s v="⚠ Mismatch"/>
    <x v="1"/>
  </r>
  <r>
    <s v="EMP006"/>
    <s v="Anjali"/>
    <x v="1"/>
    <x v="11"/>
    <x v="1"/>
    <s v="No Login"/>
    <s v="No Logout"/>
    <n v="0"/>
    <s v=""/>
    <s v="Absent"/>
    <s v="N/A"/>
    <s v="⚠ Mismatch"/>
    <x v="1"/>
  </r>
  <r>
    <s v="EMP014"/>
    <s v="Neha"/>
    <x v="0"/>
    <x v="11"/>
    <x v="0"/>
    <s v="08:05"/>
    <s v="19:45"/>
    <n v="11.666666666666664"/>
    <s v="On Time"/>
    <s v="Full Day"/>
    <s v="Full Day"/>
    <s v="✓ Match"/>
    <x v="0"/>
  </r>
  <r>
    <s v="EMP026"/>
    <s v="Gayathri S"/>
    <x v="1"/>
    <x v="11"/>
    <x v="1"/>
    <s v="No Login"/>
    <s v="No Logout"/>
    <n v="0"/>
    <s v=""/>
    <s v="Absent"/>
    <s v="N/A"/>
    <s v="⚠ Mismatch"/>
    <x v="1"/>
  </r>
  <r>
    <s v="EMP005"/>
    <s v="Vijay"/>
    <x v="1"/>
    <x v="11"/>
    <x v="0"/>
    <s v="09:45"/>
    <s v="20:20"/>
    <n v="10.583333333333332"/>
    <s v="Late"/>
    <s v="Full Day"/>
    <s v="Full Day"/>
    <s v="✓ Match"/>
    <x v="0"/>
  </r>
  <r>
    <s v="EMP030"/>
    <s v="Mohit Agarwal"/>
    <x v="1"/>
    <x v="11"/>
    <x v="1"/>
    <s v="No Login"/>
    <s v="No Logout"/>
    <n v="0"/>
    <s v=""/>
    <s v="Absent"/>
    <s v="N/A"/>
    <s v="⚠ Mismatch"/>
    <x v="1"/>
  </r>
  <r>
    <s v="EMP027"/>
    <s v="Ashok Kumar"/>
    <x v="0"/>
    <x v="12"/>
    <x v="0"/>
    <s v="10:45"/>
    <s v="19:45"/>
    <n v="8.9999999999999982"/>
    <s v="Late"/>
    <s v="Full Day"/>
    <s v="Full Day"/>
    <s v="✓ Match"/>
    <x v="0"/>
  </r>
  <r>
    <s v="EMP002"/>
    <s v="Priya Sharma"/>
    <x v="0"/>
    <x v="12"/>
    <x v="0"/>
    <s v="09:30"/>
    <s v="19:15"/>
    <n v="9.7500000000000018"/>
    <s v="Late"/>
    <s v="Full Day"/>
    <s v="Full Day"/>
    <s v="✓ Match"/>
    <x v="0"/>
  </r>
  <r>
    <s v="EMP014"/>
    <s v="Neha"/>
    <x v="0"/>
    <x v="12"/>
    <x v="0"/>
    <s v="08:05"/>
    <s v="16:30"/>
    <n v="8.4166666666666661"/>
    <s v="On Time"/>
    <s v="Full Day"/>
    <s v="Full Day"/>
    <s v="✓ Match"/>
    <x v="0"/>
  </r>
  <r>
    <s v="EMP025"/>
    <s v="Varun Sethi"/>
    <x v="2"/>
    <x v="12"/>
    <x v="2"/>
    <s v="09:45"/>
    <s v="20:45"/>
    <n v="11"/>
    <s v="Late"/>
    <s v="Full Day"/>
    <s v="Full Day"/>
    <s v="✓ Match"/>
    <x v="0"/>
  </r>
  <r>
    <s v="EMP008"/>
    <s v="Divya"/>
    <x v="1"/>
    <x v="12"/>
    <x v="1"/>
    <s v="No Login"/>
    <s v="No Logout"/>
    <n v="0"/>
    <s v=""/>
    <s v="Absent"/>
    <s v="N/A"/>
    <s v="⚠ Mismatch"/>
    <x v="1"/>
  </r>
  <r>
    <s v="EMP028"/>
    <s v="Naveen Raj"/>
    <x v="1"/>
    <x v="12"/>
    <x v="0"/>
    <s v="09:00"/>
    <s v="17:45"/>
    <n v="8.75"/>
    <s v="On Time"/>
    <s v="Full Day"/>
    <s v="Full Day"/>
    <s v="✓ Match"/>
    <x v="0"/>
  </r>
  <r>
    <s v="EMP030"/>
    <s v="Mohit Agarwal"/>
    <x v="1"/>
    <x v="12"/>
    <x v="0"/>
    <s v="10:15"/>
    <s v="20:15"/>
    <n v="10"/>
    <s v="Late"/>
    <s v="Full Day"/>
    <s v="Full Day"/>
    <s v="✓ Match"/>
    <x v="0"/>
  </r>
  <r>
    <s v="EMP003"/>
    <s v="Rahul Verma"/>
    <x v="2"/>
    <x v="12"/>
    <x v="0"/>
    <s v="08:10"/>
    <s v="16:30"/>
    <n v="8.3333333333333339"/>
    <s v="On Time"/>
    <s v="Full Day"/>
    <s v="Full Day"/>
    <s v="✓ Match"/>
    <x v="0"/>
  </r>
  <r>
    <s v="EMP016"/>
    <s v="Kavya Menon"/>
    <x v="1"/>
    <x v="12"/>
    <x v="0"/>
    <s v="10:45"/>
    <s v="20:20"/>
    <n v="9.5833333333333321"/>
    <s v="Late"/>
    <s v="Full Day"/>
    <s v="Full Day"/>
    <s v="✓ Match"/>
    <x v="0"/>
  </r>
  <r>
    <s v="EMP020"/>
    <s v="Lakshmi Devi"/>
    <x v="0"/>
    <x v="12"/>
    <x v="0"/>
    <s v="08:00"/>
    <s v="17:30"/>
    <n v="9.5"/>
    <s v="On Time"/>
    <s v="Full Day"/>
    <s v="Full Day"/>
    <s v="✓ Match"/>
    <x v="0"/>
  </r>
  <r>
    <s v="EMP019"/>
    <s v="Rohit Malhotra"/>
    <x v="4"/>
    <x v="12"/>
    <x v="0"/>
    <s v="09:15"/>
    <s v="19:45"/>
    <n v="10.499999999999998"/>
    <s v="Late"/>
    <s v="Full Day"/>
    <s v="Full Day"/>
    <s v="✓ Match"/>
    <x v="0"/>
  </r>
  <r>
    <s v="EMP001"/>
    <s v="Arun Kumar"/>
    <x v="2"/>
    <x v="12"/>
    <x v="0"/>
    <s v="08:00"/>
    <s v="17:30"/>
    <n v="9.5"/>
    <s v="On Time"/>
    <s v="Full Day"/>
    <s v="Full Day"/>
    <s v="✓ Match"/>
    <x v="0"/>
  </r>
  <r>
    <s v="EMP004"/>
    <s v="Sneha Reddy"/>
    <x v="0"/>
    <x v="12"/>
    <x v="0"/>
    <s v="09:10"/>
    <s v="16:20"/>
    <n v="7.1666666666666652"/>
    <s v="Late"/>
    <s v="Half Day"/>
    <s v="Half Day"/>
    <s v="✓ Match"/>
    <x v="0"/>
  </r>
  <r>
    <s v="EMP012"/>
    <s v="Pooja Das"/>
    <x v="0"/>
    <x v="12"/>
    <x v="1"/>
    <s v="No Login"/>
    <s v="No Logout"/>
    <n v="0"/>
    <s v=""/>
    <s v="Absent"/>
    <s v="N/A"/>
    <s v="⚠ Mismatch"/>
    <x v="1"/>
  </r>
  <r>
    <s v="EMP023"/>
    <s v="Harish Kumar"/>
    <x v="2"/>
    <x v="12"/>
    <x v="0"/>
    <s v="10:45"/>
    <s v="17:30"/>
    <n v="6.7499999999999982"/>
    <s v="Late"/>
    <s v="Half Day"/>
    <s v="Half Day"/>
    <s v="✓ Match"/>
    <x v="0"/>
  </r>
  <r>
    <s v="EMP029"/>
    <s v="Sanjana Roy"/>
    <x v="1"/>
    <x v="12"/>
    <x v="0"/>
    <s v="09:20"/>
    <s v="20:10"/>
    <n v="10.833333333333334"/>
    <s v="Late"/>
    <s v="Full Day"/>
    <s v="Full Day"/>
    <s v="✓ Match"/>
    <x v="0"/>
  </r>
  <r>
    <s v="EMP006"/>
    <s v="Anjali"/>
    <x v="1"/>
    <x v="12"/>
    <x v="0"/>
    <s v="09:20"/>
    <s v="16:20"/>
    <n v="6.9999999999999982"/>
    <s v="Late"/>
    <s v="Half Day"/>
    <s v="Half Day"/>
    <s v="✓ Match"/>
    <x v="0"/>
  </r>
  <r>
    <s v="EMP011"/>
    <s v="Ajay Rao"/>
    <x v="3"/>
    <x v="12"/>
    <x v="1"/>
    <s v="No Login"/>
    <s v="No Logout"/>
    <n v="0"/>
    <s v=""/>
    <s v="Absent"/>
    <s v="N/A"/>
    <s v="⚠ Mismatch"/>
    <x v="1"/>
  </r>
  <r>
    <s v="EMP024"/>
    <s v="Maheswari"/>
    <x v="3"/>
    <x v="12"/>
    <x v="0"/>
    <s v="09:20"/>
    <s v="20:45"/>
    <n v="11.416666666666668"/>
    <s v="Late"/>
    <s v="Full Day"/>
    <s v="Full Day"/>
    <s v="✓ Match"/>
    <x v="0"/>
  </r>
  <r>
    <s v="EMP005"/>
    <s v="Vijay"/>
    <x v="1"/>
    <x v="12"/>
    <x v="1"/>
    <s v="No Login"/>
    <s v="No Logout"/>
    <n v="0"/>
    <s v=""/>
    <s v="Absent"/>
    <s v="N/A"/>
    <s v="⚠ Mismatch"/>
    <x v="1"/>
  </r>
  <r>
    <s v="EMP007"/>
    <s v="Karan Patel"/>
    <x v="3"/>
    <x v="12"/>
    <x v="1"/>
    <s v="No Login"/>
    <s v="No Logout"/>
    <n v="0"/>
    <s v=""/>
    <s v="Absent"/>
    <s v="N/A"/>
    <s v="⚠ Mismatch"/>
    <x v="1"/>
  </r>
  <r>
    <s v="EMP026"/>
    <s v="Gayathri S"/>
    <x v="1"/>
    <x v="12"/>
    <x v="0"/>
    <s v="09:20"/>
    <s v="17:00"/>
    <n v="7.6666666666666679"/>
    <s v="Late"/>
    <s v="Half Day"/>
    <s v="Half Day"/>
    <s v="✓ Match"/>
    <x v="0"/>
  </r>
  <r>
    <s v="EMP018"/>
    <s v="Aisha Khan"/>
    <x v="0"/>
    <x v="12"/>
    <x v="2"/>
    <s v="09:20"/>
    <s v="18:45"/>
    <n v="9.4166666666666661"/>
    <s v="Late"/>
    <s v="Full Day"/>
    <s v="Full Day"/>
    <s v="✓ Match"/>
    <x v="0"/>
  </r>
  <r>
    <s v="EMP022"/>
    <s v="Swathi Rao"/>
    <x v="4"/>
    <x v="12"/>
    <x v="1"/>
    <s v="No Login"/>
    <s v="No Logout"/>
    <n v="0"/>
    <s v=""/>
    <s v="Absent"/>
    <s v="N/A"/>
    <s v="⚠ Mismatch"/>
    <x v="1"/>
  </r>
  <r>
    <s v="EMP013"/>
    <s v="Ramesh"/>
    <x v="0"/>
    <x v="12"/>
    <x v="1"/>
    <s v="No Login"/>
    <s v="No Logout"/>
    <n v="0"/>
    <s v=""/>
    <s v="Absent"/>
    <s v="N/A"/>
    <s v="⚠ Mismatch"/>
    <x v="1"/>
  </r>
  <r>
    <s v="EMP017"/>
    <s v="Deepak"/>
    <x v="2"/>
    <x v="12"/>
    <x v="1"/>
    <s v="No Login"/>
    <s v="No Logout"/>
    <n v="0"/>
    <s v=""/>
    <s v="Absent"/>
    <s v="N/A"/>
    <s v="⚠ Mismatch"/>
    <x v="1"/>
  </r>
  <r>
    <s v="EMP009"/>
    <s v="Suresh Babu"/>
    <x v="2"/>
    <x v="12"/>
    <x v="0"/>
    <s v="10:00"/>
    <s v="20:45"/>
    <n v="10.75"/>
    <s v="Late"/>
    <s v="Full Day"/>
    <s v="Full Day"/>
    <s v="✓ Match"/>
    <x v="0"/>
  </r>
  <r>
    <s v="EMP021"/>
    <s v="Nitin Sharma"/>
    <x v="0"/>
    <x v="12"/>
    <x v="0"/>
    <s v="09:00"/>
    <s v="16:15"/>
    <n v="7.2500000000000009"/>
    <s v="On Time"/>
    <s v="Half Day"/>
    <s v="Half Day"/>
    <s v="✓ Match"/>
    <x v="0"/>
  </r>
  <r>
    <s v="EMP015"/>
    <s v="Manoj"/>
    <x v="3"/>
    <x v="12"/>
    <x v="0"/>
    <s v="10:00"/>
    <s v="18:45"/>
    <n v="8.75"/>
    <s v="Late"/>
    <s v="Full Day"/>
    <s v="Full Day"/>
    <s v="✓ Match"/>
    <x v="0"/>
  </r>
  <r>
    <s v="EMP010"/>
    <s v="Meena"/>
    <x v="3"/>
    <x v="12"/>
    <x v="0"/>
    <s v="09:45"/>
    <s v="18:15"/>
    <n v="8.5"/>
    <s v="Late"/>
    <s v="Full Day"/>
    <s v="Full Day"/>
    <s v="✓ Match"/>
    <x v="0"/>
  </r>
  <r>
    <s v="EMP009"/>
    <s v="Suresh Babu"/>
    <x v="2"/>
    <x v="13"/>
    <x v="2"/>
    <s v="11:20"/>
    <s v="18:45"/>
    <n v="7.4166666666666661"/>
    <s v="Late"/>
    <s v="Half Day"/>
    <s v="Half Day"/>
    <s v="✓ Match"/>
    <x v="0"/>
  </r>
  <r>
    <s v="EMP028"/>
    <s v="Naveen Raj"/>
    <x v="1"/>
    <x v="13"/>
    <x v="2"/>
    <s v="09:15"/>
    <s v="20:15"/>
    <n v="11"/>
    <s v="Late"/>
    <s v="Full Day"/>
    <s v="Full Day"/>
    <s v="✓ Match"/>
    <x v="0"/>
  </r>
  <r>
    <s v="EMP015"/>
    <s v="Manoj"/>
    <x v="3"/>
    <x v="13"/>
    <x v="0"/>
    <s v="08:45"/>
    <s v="20:30"/>
    <n v="11.75"/>
    <s v="On Time"/>
    <s v="Full Day"/>
    <s v="Full Day"/>
    <s v="✓ Match"/>
    <x v="0"/>
  </r>
  <r>
    <s v="EMP024"/>
    <s v="Maheswari"/>
    <x v="3"/>
    <x v="13"/>
    <x v="0"/>
    <s v="08:30"/>
    <s v="18:15"/>
    <n v="9.7499999999999982"/>
    <s v="On Time"/>
    <s v="Full Day"/>
    <s v="Full Day"/>
    <s v="✓ Match"/>
    <x v="0"/>
  </r>
  <r>
    <s v="EMP020"/>
    <s v="Lakshmi Devi"/>
    <x v="0"/>
    <x v="13"/>
    <x v="0"/>
    <s v="08:45"/>
    <s v="18:10"/>
    <n v="9.4166666666666696"/>
    <s v="On Time"/>
    <s v="Full Day"/>
    <s v="Full Day"/>
    <s v="✓ Match"/>
    <x v="0"/>
  </r>
  <r>
    <s v="EMP002"/>
    <s v="Priya Sharma"/>
    <x v="0"/>
    <x v="13"/>
    <x v="0"/>
    <s v="08:30"/>
    <s v="18:15"/>
    <n v="9.7499999999999982"/>
    <s v="On Time"/>
    <s v="Full Day"/>
    <s v="Full Day"/>
    <s v="✓ Match"/>
    <x v="0"/>
  </r>
  <r>
    <s v="EMP026"/>
    <s v="Gayathri S"/>
    <x v="1"/>
    <x v="13"/>
    <x v="0"/>
    <s v="10:10"/>
    <s v="20:30"/>
    <n v="10.333333333333332"/>
    <s v="Late"/>
    <s v="Full Day"/>
    <s v="Full Day"/>
    <s v="✓ Match"/>
    <x v="0"/>
  </r>
  <r>
    <s v="EMP001"/>
    <s v="Arun Kumar"/>
    <x v="2"/>
    <x v="13"/>
    <x v="0"/>
    <s v="08:30"/>
    <s v="20:15"/>
    <n v="11.75"/>
    <s v="On Time"/>
    <s v="Full Day"/>
    <s v="Full Day"/>
    <s v="✓ Match"/>
    <x v="0"/>
  </r>
  <r>
    <s v="EMP008"/>
    <s v="Divya"/>
    <x v="1"/>
    <x v="13"/>
    <x v="1"/>
    <s v="No Login"/>
    <s v="No Logout"/>
    <n v="0"/>
    <s v=""/>
    <s v="Absent"/>
    <s v="N/A"/>
    <s v="⚠ Mismatch"/>
    <x v="1"/>
  </r>
  <r>
    <s v="EMP030"/>
    <s v="Mohit Agarwal"/>
    <x v="1"/>
    <x v="13"/>
    <x v="0"/>
    <s v="08:30"/>
    <s v="20:15"/>
    <n v="11.75"/>
    <s v="On Time"/>
    <s v="Full Day"/>
    <s v="Full Day"/>
    <s v="✓ Match"/>
    <x v="0"/>
  </r>
  <r>
    <s v="EMP005"/>
    <s v="Vijay"/>
    <x v="1"/>
    <x v="13"/>
    <x v="1"/>
    <s v="No Login"/>
    <s v="No Logout"/>
    <n v="0"/>
    <s v=""/>
    <s v="Absent"/>
    <s v="N/A"/>
    <s v="⚠ Mismatch"/>
    <x v="1"/>
  </r>
  <r>
    <s v="EMP029"/>
    <s v="Sanjana Roy"/>
    <x v="1"/>
    <x v="13"/>
    <x v="0"/>
    <s v="11:10"/>
    <s v="19:00"/>
    <n v="7.8333333333333339"/>
    <s v="Late"/>
    <s v="Half Day"/>
    <s v="Half Day"/>
    <s v="✓ Match"/>
    <x v="0"/>
  </r>
  <r>
    <s v="EMP023"/>
    <s v="Harish Kumar"/>
    <x v="2"/>
    <x v="13"/>
    <x v="0"/>
    <s v="09:05"/>
    <s v="17:30"/>
    <n v="8.4166666666666643"/>
    <s v="Late"/>
    <s v="Full Day"/>
    <s v="Full Day"/>
    <s v="✓ Match"/>
    <x v="0"/>
  </r>
  <r>
    <s v="EMP019"/>
    <s v="Rohit Malhotra"/>
    <x v="4"/>
    <x v="13"/>
    <x v="2"/>
    <s v="09:45"/>
    <s v="20:20"/>
    <n v="10.583333333333332"/>
    <s v="Late"/>
    <s v="Full Day"/>
    <s v="Full Day"/>
    <s v="✓ Match"/>
    <x v="0"/>
  </r>
  <r>
    <s v="EMP025"/>
    <s v="Varun Sethi"/>
    <x v="2"/>
    <x v="13"/>
    <x v="0"/>
    <s v="08:45"/>
    <s v="19:00"/>
    <n v="10.25"/>
    <s v="On Time"/>
    <s v="Full Day"/>
    <s v="Full Day"/>
    <s v="✓ Match"/>
    <x v="0"/>
  </r>
  <r>
    <s v="EMP010"/>
    <s v="Meena"/>
    <x v="3"/>
    <x v="13"/>
    <x v="0"/>
    <s v="09:00"/>
    <s v="18:15"/>
    <n v="9.25"/>
    <s v="On Time"/>
    <s v="Full Day"/>
    <s v="Full Day"/>
    <s v="✓ Match"/>
    <x v="0"/>
  </r>
  <r>
    <s v="EMP017"/>
    <s v="Deepak"/>
    <x v="2"/>
    <x v="13"/>
    <x v="0"/>
    <s v="09:15"/>
    <s v="18:45"/>
    <n v="9.5"/>
    <s v="Late"/>
    <s v="Full Day"/>
    <s v="Full Day"/>
    <s v="✓ Match"/>
    <x v="0"/>
  </r>
  <r>
    <s v="EMP016"/>
    <s v="Kavya Menon"/>
    <x v="1"/>
    <x v="13"/>
    <x v="1"/>
    <s v="No Login"/>
    <s v="No Logout"/>
    <n v="0"/>
    <s v=""/>
    <s v="Absent"/>
    <s v="N/A"/>
    <s v="⚠ Mismatch"/>
    <x v="1"/>
  </r>
  <r>
    <s v="EMP027"/>
    <s v="Ashok Kumar"/>
    <x v="0"/>
    <x v="13"/>
    <x v="0"/>
    <s v="09:05"/>
    <s v="19:15"/>
    <n v="10.166666666666666"/>
    <s v="Late"/>
    <s v="Full Day"/>
    <s v="Full Day"/>
    <s v="✓ Match"/>
    <x v="0"/>
  </r>
  <r>
    <s v="EMP013"/>
    <s v="Ramesh"/>
    <x v="0"/>
    <x v="13"/>
    <x v="0"/>
    <s v="09:30"/>
    <s v="20:00"/>
    <n v="10.500000000000002"/>
    <s v="Late"/>
    <s v="Full Day"/>
    <s v="Full Day"/>
    <s v="✓ Match"/>
    <x v="0"/>
  </r>
  <r>
    <s v="EMP014"/>
    <s v="Neha"/>
    <x v="0"/>
    <x v="13"/>
    <x v="0"/>
    <s v="10:20"/>
    <s v="18:30"/>
    <n v="8.1666666666666679"/>
    <s v="Late"/>
    <s v="Full Day"/>
    <s v="Full Day"/>
    <s v="✓ Match"/>
    <x v="0"/>
  </r>
  <r>
    <s v="EMP021"/>
    <s v="Nitin Sharma"/>
    <x v="0"/>
    <x v="13"/>
    <x v="0"/>
    <s v="10:15"/>
    <s v="20:15"/>
    <n v="10"/>
    <s v="Late"/>
    <s v="Full Day"/>
    <s v="Full Day"/>
    <s v="✓ Match"/>
    <x v="0"/>
  </r>
  <r>
    <s v="EMP003"/>
    <s v="Rahul Verma"/>
    <x v="2"/>
    <x v="13"/>
    <x v="0"/>
    <s v="10:20"/>
    <s v="18:15"/>
    <n v="7.9166666666666652"/>
    <s v="Late"/>
    <s v="Half Day"/>
    <s v="Half Day"/>
    <s v="✓ Match"/>
    <x v="0"/>
  </r>
  <r>
    <s v="EMP011"/>
    <s v="Ajay Rao"/>
    <x v="3"/>
    <x v="13"/>
    <x v="0"/>
    <s v="08:45"/>
    <s v="18:10"/>
    <n v="9.4166666666666696"/>
    <s v="On Time"/>
    <s v="Full Day"/>
    <s v="Full Day"/>
    <s v="✓ Match"/>
    <x v="0"/>
  </r>
  <r>
    <s v="EMP022"/>
    <s v="Swathi Rao"/>
    <x v="4"/>
    <x v="13"/>
    <x v="1"/>
    <s v="No Login"/>
    <s v="No Logout"/>
    <n v="0"/>
    <s v=""/>
    <s v="Absent"/>
    <s v="N/A"/>
    <s v="⚠ Mismatch"/>
    <x v="1"/>
  </r>
  <r>
    <s v="EMP018"/>
    <s v="Aisha Khan"/>
    <x v="0"/>
    <x v="13"/>
    <x v="1"/>
    <s v="No Login"/>
    <s v="No Logout"/>
    <n v="0"/>
    <s v=""/>
    <s v="Absent"/>
    <s v="N/A"/>
    <s v="⚠ Mismatch"/>
    <x v="1"/>
  </r>
  <r>
    <s v="EMP007"/>
    <s v="Karan Patel"/>
    <x v="3"/>
    <x v="13"/>
    <x v="0"/>
    <s v="10:45"/>
    <s v="18:45"/>
    <n v="8"/>
    <s v="Late"/>
    <s v="Full Day"/>
    <s v="Full Day"/>
    <s v="✓ Match"/>
    <x v="0"/>
  </r>
  <r>
    <s v="EMP006"/>
    <s v="Anjali"/>
    <x v="1"/>
    <x v="13"/>
    <x v="0"/>
    <s v="09:00"/>
    <s v="18:30"/>
    <n v="9.5"/>
    <s v="On Time"/>
    <s v="Full Day"/>
    <s v="Full Day"/>
    <s v="✓ Match"/>
    <x v="0"/>
  </r>
  <r>
    <s v="EMP012"/>
    <s v="Pooja Das"/>
    <x v="0"/>
    <x v="13"/>
    <x v="0"/>
    <s v="08:00"/>
    <s v="17:00"/>
    <n v="9.0000000000000018"/>
    <s v="On Time"/>
    <s v="Full Day"/>
    <s v="Full Day"/>
    <s v="✓ Match"/>
    <x v="0"/>
  </r>
  <r>
    <s v="EMP004"/>
    <s v="Sneha Reddy"/>
    <x v="0"/>
    <x v="13"/>
    <x v="0"/>
    <s v="09:10"/>
    <s v="18:45"/>
    <n v="9.5833333333333339"/>
    <s v="Late"/>
    <s v="Full Day"/>
    <s v="Full Day"/>
    <s v="✓ Match"/>
    <x v="0"/>
  </r>
  <r>
    <s v="EMP007"/>
    <s v="Karan Patel"/>
    <x v="3"/>
    <x v="14"/>
    <x v="0"/>
    <s v="10:05"/>
    <s v="19:00"/>
    <n v="8.9166666666666661"/>
    <s v="Late"/>
    <s v="Full Day"/>
    <s v="Full Day"/>
    <s v="✓ Match"/>
    <x v="0"/>
  </r>
  <r>
    <s v="EMP029"/>
    <s v="Sanjana Roy"/>
    <x v="1"/>
    <x v="14"/>
    <x v="0"/>
    <s v="10:20"/>
    <s v="19:15"/>
    <n v="8.9166666666666679"/>
    <s v="Late"/>
    <s v="Full Day"/>
    <s v="Full Day"/>
    <s v="✓ Match"/>
    <x v="0"/>
  </r>
  <r>
    <s v="EMP027"/>
    <s v="Ashok Kumar"/>
    <x v="0"/>
    <x v="14"/>
    <x v="2"/>
    <s v="09:15"/>
    <s v="18:30"/>
    <n v="9.25"/>
    <s v="Late"/>
    <s v="Full Day"/>
    <s v="Full Day"/>
    <s v="✓ Match"/>
    <x v="0"/>
  </r>
  <r>
    <s v="EMP009"/>
    <s v="Suresh Babu"/>
    <x v="2"/>
    <x v="14"/>
    <x v="0"/>
    <s v="10:15"/>
    <s v="20:30"/>
    <n v="10.25"/>
    <s v="Late"/>
    <s v="Full Day"/>
    <s v="Full Day"/>
    <s v="✓ Match"/>
    <x v="0"/>
  </r>
  <r>
    <s v="EMP017"/>
    <s v="Deepak"/>
    <x v="2"/>
    <x v="14"/>
    <x v="1"/>
    <s v="No Login"/>
    <s v="No Logout"/>
    <n v="0"/>
    <s v=""/>
    <s v="Absent"/>
    <s v="N/A"/>
    <s v="⚠ Mismatch"/>
    <x v="1"/>
  </r>
  <r>
    <s v="EMP012"/>
    <s v="Pooja Das"/>
    <x v="0"/>
    <x v="14"/>
    <x v="0"/>
    <s v="09:00"/>
    <s v="20:15"/>
    <n v="11.25"/>
    <s v="On Time"/>
    <s v="Full Day"/>
    <s v="Full Day"/>
    <s v="✓ Match"/>
    <x v="0"/>
  </r>
  <r>
    <s v="EMP004"/>
    <s v="Sneha Reddy"/>
    <x v="0"/>
    <x v="14"/>
    <x v="1"/>
    <s v="No Login"/>
    <s v="No Logout"/>
    <n v="0"/>
    <s v=""/>
    <s v="Absent"/>
    <s v="N/A"/>
    <s v="⚠ Mismatch"/>
    <x v="1"/>
  </r>
  <r>
    <s v="EMP022"/>
    <s v="Swathi Rao"/>
    <x v="4"/>
    <x v="14"/>
    <x v="0"/>
    <s v="08:15"/>
    <s v="19:20"/>
    <n v="11.083333333333332"/>
    <s v="On Time"/>
    <s v="Full Day"/>
    <s v="Full Day"/>
    <s v="✓ Match"/>
    <x v="0"/>
  </r>
  <r>
    <s v="EMP021"/>
    <s v="Nitin Sharma"/>
    <x v="0"/>
    <x v="14"/>
    <x v="0"/>
    <s v="08:45"/>
    <s v="16:00"/>
    <n v="7.25"/>
    <s v="On Time"/>
    <s v="Half Day"/>
    <s v="Half Day"/>
    <s v="✓ Match"/>
    <x v="0"/>
  </r>
  <r>
    <s v="EMP008"/>
    <s v="Divya"/>
    <x v="1"/>
    <x v="14"/>
    <x v="0"/>
    <s v="09:45"/>
    <s v="20:20"/>
    <n v="10.583333333333332"/>
    <s v="Late"/>
    <s v="Full Day"/>
    <s v="Full Day"/>
    <s v="✓ Match"/>
    <x v="0"/>
  </r>
  <r>
    <s v="EMP013"/>
    <s v="Ramesh"/>
    <x v="0"/>
    <x v="14"/>
    <x v="0"/>
    <s v="09:20"/>
    <s v="20:30"/>
    <n v="11.166666666666666"/>
    <s v="Late"/>
    <s v="Full Day"/>
    <s v="Full Day"/>
    <s v="✓ Match"/>
    <x v="0"/>
  </r>
  <r>
    <s v="EMP016"/>
    <s v="Kavya Menon"/>
    <x v="1"/>
    <x v="14"/>
    <x v="0"/>
    <s v="10:30"/>
    <s v="17:30"/>
    <n v="6.9999999999999991"/>
    <s v="Late"/>
    <s v="Half Day"/>
    <s v="Half Day"/>
    <s v="✓ Match"/>
    <x v="0"/>
  </r>
  <r>
    <s v="EMP030"/>
    <s v="Mohit Agarwal"/>
    <x v="1"/>
    <x v="14"/>
    <x v="0"/>
    <s v="08:10"/>
    <s v="17:20"/>
    <n v="9.1666666666666679"/>
    <s v="On Time"/>
    <s v="Full Day"/>
    <s v="Full Day"/>
    <s v="✓ Match"/>
    <x v="0"/>
  </r>
  <r>
    <s v="EMP019"/>
    <s v="Rohit Malhotra"/>
    <x v="4"/>
    <x v="14"/>
    <x v="0"/>
    <s v="10:15"/>
    <s v="20:20"/>
    <n v="10.083333333333334"/>
    <s v="Late"/>
    <s v="Full Day"/>
    <s v="Full Day"/>
    <s v="✓ Match"/>
    <x v="0"/>
  </r>
  <r>
    <s v="EMP024"/>
    <s v="Maheswari"/>
    <x v="3"/>
    <x v="14"/>
    <x v="1"/>
    <s v="No Login"/>
    <s v="No Logout"/>
    <n v="0"/>
    <s v=""/>
    <s v="Absent"/>
    <s v="N/A"/>
    <s v="⚠ Mismatch"/>
    <x v="1"/>
  </r>
  <r>
    <s v="EMP023"/>
    <s v="Harish Kumar"/>
    <x v="2"/>
    <x v="14"/>
    <x v="0"/>
    <s v="10:05"/>
    <s v="19:15"/>
    <n v="9.1666666666666679"/>
    <s v="Late"/>
    <s v="Full Day"/>
    <s v="Full Day"/>
    <s v="✓ Match"/>
    <x v="0"/>
  </r>
  <r>
    <s v="EMP015"/>
    <s v="Manoj"/>
    <x v="3"/>
    <x v="14"/>
    <x v="2"/>
    <s v="08:00"/>
    <s v="17:00"/>
    <n v="9.0000000000000018"/>
    <s v="On Time"/>
    <s v="Full Day"/>
    <s v="Full Day"/>
    <s v="✓ Match"/>
    <x v="0"/>
  </r>
  <r>
    <s v="EMP001"/>
    <s v="Arun Kumar"/>
    <x v="2"/>
    <x v="14"/>
    <x v="1"/>
    <s v="No Login"/>
    <s v="No Logout"/>
    <n v="0"/>
    <s v=""/>
    <s v="Absent"/>
    <s v="N/A"/>
    <s v="⚠ Mismatch"/>
    <x v="1"/>
  </r>
  <r>
    <s v="EMP005"/>
    <s v="Vijay"/>
    <x v="1"/>
    <x v="14"/>
    <x v="0"/>
    <s v="09:00"/>
    <s v="16:15"/>
    <n v="7.2500000000000009"/>
    <s v="On Time"/>
    <s v="Half Day"/>
    <s v="Half Day"/>
    <s v="✓ Match"/>
    <x v="0"/>
  </r>
  <r>
    <s v="EMP018"/>
    <s v="Aisha Khan"/>
    <x v="0"/>
    <x v="14"/>
    <x v="0"/>
    <s v="08:20"/>
    <s v="17:45"/>
    <n v="9.4166666666666661"/>
    <s v="On Time"/>
    <s v="Full Day"/>
    <s v="Full Day"/>
    <s v="✓ Match"/>
    <x v="0"/>
  </r>
  <r>
    <s v="EMP026"/>
    <s v="Gayathri S"/>
    <x v="1"/>
    <x v="14"/>
    <x v="0"/>
    <s v="09:15"/>
    <s v="19:15"/>
    <n v="10"/>
    <s v="Late"/>
    <s v="Full Day"/>
    <s v="Full Day"/>
    <s v="✓ Match"/>
    <x v="0"/>
  </r>
  <r>
    <s v="EMP003"/>
    <s v="Rahul Verma"/>
    <x v="2"/>
    <x v="14"/>
    <x v="1"/>
    <s v="No Login"/>
    <s v="No Logout"/>
    <n v="0"/>
    <s v=""/>
    <s v="Absent"/>
    <s v="N/A"/>
    <s v="⚠ Mismatch"/>
    <x v="1"/>
  </r>
  <r>
    <s v="EMP010"/>
    <s v="Meena"/>
    <x v="3"/>
    <x v="14"/>
    <x v="0"/>
    <s v="09:05"/>
    <s v="20:10"/>
    <n v="11.083333333333332"/>
    <s v="Late"/>
    <s v="Full Day"/>
    <s v="Full Day"/>
    <s v="✓ Match"/>
    <x v="0"/>
  </r>
  <r>
    <s v="EMP025"/>
    <s v="Varun Sethi"/>
    <x v="2"/>
    <x v="14"/>
    <x v="0"/>
    <s v="09:10"/>
    <s v="16:15"/>
    <n v="7.0833333333333348"/>
    <s v="Late"/>
    <s v="Half Day"/>
    <s v="Half Day"/>
    <s v="✓ Match"/>
    <x v="0"/>
  </r>
  <r>
    <s v="EMP028"/>
    <s v="Naveen Raj"/>
    <x v="1"/>
    <x v="14"/>
    <x v="0"/>
    <s v="08:15"/>
    <s v="15:20"/>
    <n v="7.0833333333333348"/>
    <s v="On Time"/>
    <s v="Half Day"/>
    <s v="Half Day"/>
    <s v="✓ Match"/>
    <x v="0"/>
  </r>
  <r>
    <s v="EMP014"/>
    <s v="Neha"/>
    <x v="0"/>
    <x v="14"/>
    <x v="0"/>
    <s v="10:00"/>
    <s v="20:20"/>
    <n v="10.333333333333332"/>
    <s v="Late"/>
    <s v="Full Day"/>
    <s v="Full Day"/>
    <s v="✓ Match"/>
    <x v="0"/>
  </r>
  <r>
    <s v="EMP006"/>
    <s v="Anjali"/>
    <x v="1"/>
    <x v="14"/>
    <x v="0"/>
    <s v="08:30"/>
    <s v="19:30"/>
    <n v="11"/>
    <s v="On Time"/>
    <s v="Full Day"/>
    <s v="Full Day"/>
    <s v="✓ Match"/>
    <x v="0"/>
  </r>
  <r>
    <s v="EMP011"/>
    <s v="Ajay Rao"/>
    <x v="3"/>
    <x v="14"/>
    <x v="0"/>
    <s v="08:10"/>
    <s v="16:30"/>
    <n v="8.3333333333333339"/>
    <s v="On Time"/>
    <s v="Full Day"/>
    <s v="Full Day"/>
    <s v="✓ Match"/>
    <x v="0"/>
  </r>
  <r>
    <s v="EMP020"/>
    <s v="Lakshmi Devi"/>
    <x v="0"/>
    <x v="14"/>
    <x v="0"/>
    <s v="10:00"/>
    <s v="20:20"/>
    <n v="10.333333333333332"/>
    <s v="Late"/>
    <s v="Full Day"/>
    <s v="Full Day"/>
    <s v="✓ Match"/>
    <x v="0"/>
  </r>
  <r>
    <s v="EMP002"/>
    <s v="Priya Sharma"/>
    <x v="0"/>
    <x v="14"/>
    <x v="0"/>
    <s v="08:45"/>
    <s v="18:45"/>
    <n v="10"/>
    <s v="On Time"/>
    <s v="Full Day"/>
    <s v="Full Day"/>
    <s v="✓ Match"/>
    <x v="0"/>
  </r>
  <r>
    <s v="EMP022"/>
    <s v="Swathi Rao"/>
    <x v="4"/>
    <x v="15"/>
    <x v="0"/>
    <s v="11:45"/>
    <s v="19:10"/>
    <n v="7.4166666666666679"/>
    <s v="Late"/>
    <s v="Half Day"/>
    <s v="Half Day"/>
    <s v="✓ Match"/>
    <x v="0"/>
  </r>
  <r>
    <s v="EMP024"/>
    <s v="Maheswari"/>
    <x v="3"/>
    <x v="15"/>
    <x v="0"/>
    <s v="09:10"/>
    <s v="19:30"/>
    <n v="10.333333333333334"/>
    <s v="Late"/>
    <s v="Full Day"/>
    <s v="Full Day"/>
    <s v="✓ Match"/>
    <x v="0"/>
  </r>
  <r>
    <s v="EMP005"/>
    <s v="Vijay"/>
    <x v="1"/>
    <x v="15"/>
    <x v="0"/>
    <s v="08:45"/>
    <s v="19:45"/>
    <n v="11"/>
    <s v="On Time"/>
    <s v="Full Day"/>
    <s v="Full Day"/>
    <s v="✓ Match"/>
    <x v="0"/>
  </r>
  <r>
    <s v="EMP007"/>
    <s v="Karan Patel"/>
    <x v="3"/>
    <x v="15"/>
    <x v="0"/>
    <s v="08:45"/>
    <s v="20:15"/>
    <n v="11.5"/>
    <s v="On Time"/>
    <s v="Full Day"/>
    <s v="Full Day"/>
    <s v="✓ Match"/>
    <x v="0"/>
  </r>
  <r>
    <s v="EMP003"/>
    <s v="Rahul Verma"/>
    <x v="2"/>
    <x v="15"/>
    <x v="0"/>
    <s v="11:00"/>
    <s v="18:45"/>
    <n v="7.75"/>
    <s v="Late"/>
    <s v="Half Day"/>
    <s v="Half Day"/>
    <s v="✓ Match"/>
    <x v="0"/>
  </r>
  <r>
    <s v="EMP030"/>
    <s v="Mohit Agarwal"/>
    <x v="1"/>
    <x v="15"/>
    <x v="0"/>
    <s v="10:05"/>
    <s v="20:30"/>
    <n v="10.416666666666666"/>
    <s v="Late"/>
    <s v="Full Day"/>
    <s v="Full Day"/>
    <s v="✓ Match"/>
    <x v="0"/>
  </r>
  <r>
    <s v="EMP029"/>
    <s v="Sanjana Roy"/>
    <x v="1"/>
    <x v="15"/>
    <x v="0"/>
    <s v="09:05"/>
    <s v="20:45"/>
    <n v="11.666666666666666"/>
    <s v="Late"/>
    <s v="Full Day"/>
    <s v="Full Day"/>
    <s v="✓ Match"/>
    <x v="0"/>
  </r>
  <r>
    <s v="EMP021"/>
    <s v="Nitin Sharma"/>
    <x v="0"/>
    <x v="15"/>
    <x v="2"/>
    <s v="09:45"/>
    <s v="18:30"/>
    <n v="8.75"/>
    <s v="Late"/>
    <s v="Full Day"/>
    <s v="Full Day"/>
    <s v="✓ Match"/>
    <x v="0"/>
  </r>
  <r>
    <s v="EMP019"/>
    <s v="Rohit Malhotra"/>
    <x v="4"/>
    <x v="15"/>
    <x v="1"/>
    <s v="No Login"/>
    <s v="No Logout"/>
    <n v="0"/>
    <s v=""/>
    <s v="Absent"/>
    <s v="N/A"/>
    <s v="⚠ Mismatch"/>
    <x v="1"/>
  </r>
  <r>
    <s v="EMP010"/>
    <s v="Meena"/>
    <x v="3"/>
    <x v="15"/>
    <x v="0"/>
    <s v="09:15"/>
    <s v="18:45"/>
    <n v="9.5"/>
    <s v="Late"/>
    <s v="Full Day"/>
    <s v="Full Day"/>
    <s v="✓ Match"/>
    <x v="0"/>
  </r>
  <r>
    <s v="EMP016"/>
    <s v="Kavya Menon"/>
    <x v="1"/>
    <x v="15"/>
    <x v="0"/>
    <s v="10:15"/>
    <s v="18:45"/>
    <n v="8.5"/>
    <s v="Late"/>
    <s v="Full Day"/>
    <s v="Full Day"/>
    <s v="✓ Match"/>
    <x v="0"/>
  </r>
  <r>
    <s v="EMP002"/>
    <s v="Priya Sharma"/>
    <x v="0"/>
    <x v="15"/>
    <x v="0"/>
    <s v="10:10"/>
    <s v="20:20"/>
    <n v="10.166666666666666"/>
    <s v="Late"/>
    <s v="Full Day"/>
    <s v="Full Day"/>
    <s v="✓ Match"/>
    <x v="0"/>
  </r>
  <r>
    <s v="EMP008"/>
    <s v="Divya"/>
    <x v="1"/>
    <x v="15"/>
    <x v="0"/>
    <s v="10:00"/>
    <s v="20:10"/>
    <n v="10.166666666666666"/>
    <s v="Late"/>
    <s v="Full Day"/>
    <s v="Full Day"/>
    <s v="✓ Match"/>
    <x v="0"/>
  </r>
  <r>
    <s v="EMP009"/>
    <s v="Suresh Babu"/>
    <x v="2"/>
    <x v="15"/>
    <x v="0"/>
    <s v="10:10"/>
    <s v="20:00"/>
    <n v="9.8333333333333339"/>
    <s v="Late"/>
    <s v="Full Day"/>
    <s v="Full Day"/>
    <s v="✓ Match"/>
    <x v="0"/>
  </r>
  <r>
    <s v="EMP023"/>
    <s v="Harish Kumar"/>
    <x v="2"/>
    <x v="15"/>
    <x v="1"/>
    <s v="No Login"/>
    <s v="No Logout"/>
    <n v="0"/>
    <s v=""/>
    <s v="Absent"/>
    <s v="N/A"/>
    <s v="⚠ Mismatch"/>
    <x v="1"/>
  </r>
  <r>
    <s v="EMP006"/>
    <s v="Anjali"/>
    <x v="1"/>
    <x v="15"/>
    <x v="1"/>
    <s v="No Login"/>
    <s v="No Logout"/>
    <n v="0"/>
    <s v=""/>
    <s v="Absent"/>
    <s v="N/A"/>
    <s v="⚠ Mismatch"/>
    <x v="1"/>
  </r>
  <r>
    <s v="EMP012"/>
    <s v="Pooja Das"/>
    <x v="0"/>
    <x v="15"/>
    <x v="0"/>
    <s v="09:20"/>
    <s v="16:15"/>
    <n v="6.9166666666666679"/>
    <s v="Late"/>
    <s v="Half Day"/>
    <s v="Half Day"/>
    <s v="✓ Match"/>
    <x v="0"/>
  </r>
  <r>
    <s v="EMP011"/>
    <s v="Ajay Rao"/>
    <x v="3"/>
    <x v="15"/>
    <x v="0"/>
    <s v="11:00"/>
    <s v="20:10"/>
    <n v="9.1666666666666679"/>
    <s v="Late"/>
    <s v="Full Day"/>
    <s v="Full Day"/>
    <s v="✓ Match"/>
    <x v="0"/>
  </r>
  <r>
    <s v="EMP025"/>
    <s v="Varun Sethi"/>
    <x v="2"/>
    <x v="15"/>
    <x v="0"/>
    <s v="10:00"/>
    <s v="19:20"/>
    <n v="9.3333333333333304"/>
    <s v="Late"/>
    <s v="Full Day"/>
    <s v="Full Day"/>
    <s v="✓ Match"/>
    <x v="0"/>
  </r>
  <r>
    <s v="EMP013"/>
    <s v="Ramesh"/>
    <x v="0"/>
    <x v="15"/>
    <x v="1"/>
    <s v="No Login"/>
    <s v="No Logout"/>
    <n v="0"/>
    <s v=""/>
    <s v="Absent"/>
    <s v="N/A"/>
    <s v="⚠ Mismatch"/>
    <x v="1"/>
  </r>
  <r>
    <s v="EMP028"/>
    <s v="Naveen Raj"/>
    <x v="1"/>
    <x v="15"/>
    <x v="0"/>
    <s v="11:30"/>
    <s v="18:20"/>
    <n v="6.8333333333333321"/>
    <s v="Late"/>
    <s v="Half Day"/>
    <s v="Half Day"/>
    <s v="✓ Match"/>
    <x v="0"/>
  </r>
  <r>
    <s v="EMP014"/>
    <s v="Neha"/>
    <x v="0"/>
    <x v="15"/>
    <x v="1"/>
    <s v="No Login"/>
    <s v="No Logout"/>
    <n v="0"/>
    <s v=""/>
    <s v="Absent"/>
    <s v="N/A"/>
    <s v="⚠ Mismatch"/>
    <x v="1"/>
  </r>
  <r>
    <s v="EMP020"/>
    <s v="Lakshmi Devi"/>
    <x v="0"/>
    <x v="15"/>
    <x v="1"/>
    <s v="No Login"/>
    <s v="No Logout"/>
    <n v="0"/>
    <s v=""/>
    <s v="Absent"/>
    <s v="N/A"/>
    <s v="⚠ Mismatch"/>
    <x v="1"/>
  </r>
  <r>
    <s v="EMP026"/>
    <s v="Gayathri S"/>
    <x v="1"/>
    <x v="15"/>
    <x v="2"/>
    <s v="10:20"/>
    <s v="20:20"/>
    <n v="10"/>
    <s v="Late"/>
    <s v="Full Day"/>
    <s v="Full Day"/>
    <s v="✓ Match"/>
    <x v="0"/>
  </r>
  <r>
    <s v="EMP018"/>
    <s v="Aisha Khan"/>
    <x v="0"/>
    <x v="15"/>
    <x v="0"/>
    <s v="08:20"/>
    <s v="17:15"/>
    <n v="8.9166666666666661"/>
    <s v="On Time"/>
    <s v="Full Day"/>
    <s v="Full Day"/>
    <s v="✓ Match"/>
    <x v="0"/>
  </r>
  <r>
    <s v="EMP027"/>
    <s v="Ashok Kumar"/>
    <x v="0"/>
    <x v="15"/>
    <x v="1"/>
    <s v="No Login"/>
    <s v="No Logout"/>
    <n v="0"/>
    <s v=""/>
    <s v="Absent"/>
    <s v="N/A"/>
    <s v="⚠ Mismatch"/>
    <x v="1"/>
  </r>
  <r>
    <s v="EMP017"/>
    <s v="Deepak"/>
    <x v="2"/>
    <x v="15"/>
    <x v="0"/>
    <s v="08:30"/>
    <s v="17:45"/>
    <n v="9.25"/>
    <s v="On Time"/>
    <s v="Full Day"/>
    <s v="Full Day"/>
    <s v="✓ Match"/>
    <x v="0"/>
  </r>
  <r>
    <s v="EMP015"/>
    <s v="Manoj"/>
    <x v="3"/>
    <x v="15"/>
    <x v="0"/>
    <s v="09:30"/>
    <s v="19:10"/>
    <n v="9.6666666666666679"/>
    <s v="Late"/>
    <s v="Full Day"/>
    <s v="Full Day"/>
    <s v="✓ Match"/>
    <x v="0"/>
  </r>
  <r>
    <s v="EMP004"/>
    <s v="Sneha Reddy"/>
    <x v="0"/>
    <x v="15"/>
    <x v="0"/>
    <s v="09:45"/>
    <s v="20:45"/>
    <n v="11"/>
    <s v="Late"/>
    <s v="Full Day"/>
    <s v="Full Day"/>
    <s v="✓ Match"/>
    <x v="0"/>
  </r>
  <r>
    <s v="EMP001"/>
    <s v="Arun Kumar"/>
    <x v="2"/>
    <x v="15"/>
    <x v="0"/>
    <s v="09:30"/>
    <s v="19:15"/>
    <n v="9.7500000000000018"/>
    <s v="Late"/>
    <s v="Full Day"/>
    <s v="Full Day"/>
    <s v="✓ Match"/>
    <x v="0"/>
  </r>
  <r>
    <s v="EMP020"/>
    <s v="Lakshmi Devi"/>
    <x v="0"/>
    <x v="16"/>
    <x v="1"/>
    <s v="No Login"/>
    <s v="No Logout"/>
    <n v="0"/>
    <s v=""/>
    <s v="Absent"/>
    <s v="N/A"/>
    <s v="⚠ Mismatch"/>
    <x v="1"/>
  </r>
  <r>
    <s v="EMP010"/>
    <s v="Meena"/>
    <x v="3"/>
    <x v="16"/>
    <x v="0"/>
    <s v="10:15"/>
    <s v="20:45"/>
    <n v="10.500000000000002"/>
    <s v="Late"/>
    <s v="Full Day"/>
    <s v="Full Day"/>
    <s v="✓ Match"/>
    <x v="0"/>
  </r>
  <r>
    <s v="EMP006"/>
    <s v="Anjali"/>
    <x v="1"/>
    <x v="16"/>
    <x v="0"/>
    <s v="09:05"/>
    <s v="20:30"/>
    <n v="11.416666666666664"/>
    <s v="Late"/>
    <s v="Full Day"/>
    <s v="Full Day"/>
    <s v="✓ Match"/>
    <x v="0"/>
  </r>
  <r>
    <s v="EMP022"/>
    <s v="Swathi Rao"/>
    <x v="4"/>
    <x v="16"/>
    <x v="1"/>
    <s v="No Login"/>
    <s v="No Logout"/>
    <n v="0"/>
    <s v=""/>
    <s v="Absent"/>
    <s v="N/A"/>
    <s v="⚠ Mismatch"/>
    <x v="1"/>
  </r>
  <r>
    <s v="EMP023"/>
    <s v="Harish Kumar"/>
    <x v="2"/>
    <x v="16"/>
    <x v="0"/>
    <s v="08:15"/>
    <s v="19:20"/>
    <n v="11.083333333333332"/>
    <s v="On Time"/>
    <s v="Full Day"/>
    <s v="Full Day"/>
    <s v="✓ Match"/>
    <x v="0"/>
  </r>
  <r>
    <s v="EMP028"/>
    <s v="Naveen Raj"/>
    <x v="1"/>
    <x v="16"/>
    <x v="0"/>
    <s v="08:20"/>
    <s v="16:15"/>
    <n v="7.9166666666666661"/>
    <s v="On Time"/>
    <s v="Half Day"/>
    <s v="Half Day"/>
    <s v="✓ Match"/>
    <x v="0"/>
  </r>
  <r>
    <s v="EMP005"/>
    <s v="Vijay"/>
    <x v="1"/>
    <x v="16"/>
    <x v="0"/>
    <s v="09:20"/>
    <s v="20:10"/>
    <n v="10.833333333333334"/>
    <s v="Late"/>
    <s v="Full Day"/>
    <s v="Full Day"/>
    <s v="✓ Match"/>
    <x v="0"/>
  </r>
  <r>
    <s v="EMP021"/>
    <s v="Nitin Sharma"/>
    <x v="0"/>
    <x v="16"/>
    <x v="0"/>
    <s v="08:20"/>
    <s v="18:20"/>
    <n v="9.9999999999999982"/>
    <s v="On Time"/>
    <s v="Full Day"/>
    <s v="Full Day"/>
    <s v="✓ Match"/>
    <x v="0"/>
  </r>
  <r>
    <s v="EMP019"/>
    <s v="Rohit Malhotra"/>
    <x v="4"/>
    <x v="16"/>
    <x v="0"/>
    <s v="10:05"/>
    <s v="19:30"/>
    <n v="9.4166666666666661"/>
    <s v="Late"/>
    <s v="Full Day"/>
    <s v="Full Day"/>
    <s v="✓ Match"/>
    <x v="0"/>
  </r>
  <r>
    <s v="EMP015"/>
    <s v="Manoj"/>
    <x v="3"/>
    <x v="16"/>
    <x v="0"/>
    <s v="10:30"/>
    <s v="19:20"/>
    <n v="8.8333333333333321"/>
    <s v="Late"/>
    <s v="Full Day"/>
    <s v="Full Day"/>
    <s v="✓ Match"/>
    <x v="0"/>
  </r>
  <r>
    <s v="EMP013"/>
    <s v="Ramesh"/>
    <x v="0"/>
    <x v="16"/>
    <x v="0"/>
    <s v="08:00"/>
    <s v="16:20"/>
    <n v="8.3333333333333321"/>
    <s v="On Time"/>
    <s v="Full Day"/>
    <s v="Full Day"/>
    <s v="✓ Match"/>
    <x v="0"/>
  </r>
  <r>
    <s v="EMP018"/>
    <s v="Aisha Khan"/>
    <x v="0"/>
    <x v="16"/>
    <x v="0"/>
    <s v="08:15"/>
    <s v="19:20"/>
    <n v="11.083333333333332"/>
    <s v="On Time"/>
    <s v="Full Day"/>
    <s v="Full Day"/>
    <s v="✓ Match"/>
    <x v="0"/>
  </r>
  <r>
    <s v="EMP012"/>
    <s v="Pooja Das"/>
    <x v="0"/>
    <x v="16"/>
    <x v="2"/>
    <s v="09:45"/>
    <s v="20:20"/>
    <n v="10.583333333333332"/>
    <s v="Late"/>
    <s v="Full Day"/>
    <s v="Full Day"/>
    <s v="✓ Match"/>
    <x v="0"/>
  </r>
  <r>
    <s v="EMP025"/>
    <s v="Varun Sethi"/>
    <x v="2"/>
    <x v="16"/>
    <x v="0"/>
    <s v="09:45"/>
    <s v="20:45"/>
    <n v="11"/>
    <s v="Late"/>
    <s v="Full Day"/>
    <s v="Full Day"/>
    <s v="✓ Match"/>
    <x v="0"/>
  </r>
  <r>
    <s v="EMP001"/>
    <s v="Arun Kumar"/>
    <x v="2"/>
    <x v="16"/>
    <x v="2"/>
    <s v="08:00"/>
    <s v="19:10"/>
    <n v="11.166666666666668"/>
    <s v="On Time"/>
    <s v="Full Day"/>
    <s v="Full Day"/>
    <s v="✓ Match"/>
    <x v="0"/>
  </r>
  <r>
    <s v="EMP011"/>
    <s v="Ajay Rao"/>
    <x v="3"/>
    <x v="16"/>
    <x v="0"/>
    <s v="10:20"/>
    <s v="19:45"/>
    <n v="9.4166666666666643"/>
    <s v="Late"/>
    <s v="Full Day"/>
    <s v="Full Day"/>
    <s v="✓ Match"/>
    <x v="0"/>
  </r>
  <r>
    <s v="EMP016"/>
    <s v="Kavya Menon"/>
    <x v="1"/>
    <x v="16"/>
    <x v="0"/>
    <s v="09:20"/>
    <s v="16:15"/>
    <n v="6.9166666666666679"/>
    <s v="Late"/>
    <s v="Half Day"/>
    <s v="Half Day"/>
    <s v="✓ Match"/>
    <x v="0"/>
  </r>
  <r>
    <s v="EMP007"/>
    <s v="Karan Patel"/>
    <x v="3"/>
    <x v="16"/>
    <x v="1"/>
    <s v="No Login"/>
    <s v="No Logout"/>
    <n v="0"/>
    <s v=""/>
    <s v="Absent"/>
    <s v="N/A"/>
    <s v="⚠ Mismatch"/>
    <x v="1"/>
  </r>
  <r>
    <s v="EMP017"/>
    <s v="Deepak"/>
    <x v="2"/>
    <x v="16"/>
    <x v="0"/>
    <s v="08:15"/>
    <s v="16:10"/>
    <n v="7.9166666666666679"/>
    <s v="On Time"/>
    <s v="Half Day"/>
    <s v="Half Day"/>
    <s v="✓ Match"/>
    <x v="0"/>
  </r>
  <r>
    <s v="EMP030"/>
    <s v="Mohit Agarwal"/>
    <x v="1"/>
    <x v="16"/>
    <x v="0"/>
    <s v="11:30"/>
    <s v="20:00"/>
    <n v="8.5"/>
    <s v="Late"/>
    <s v="Full Day"/>
    <s v="Full Day"/>
    <s v="✓ Match"/>
    <x v="0"/>
  </r>
  <r>
    <s v="EMP014"/>
    <s v="Neha"/>
    <x v="0"/>
    <x v="16"/>
    <x v="0"/>
    <s v="09:10"/>
    <s v="20:10"/>
    <n v="11"/>
    <s v="Late"/>
    <s v="Full Day"/>
    <s v="Full Day"/>
    <s v="✓ Match"/>
    <x v="0"/>
  </r>
  <r>
    <s v="EMP009"/>
    <s v="Suresh Babu"/>
    <x v="2"/>
    <x v="16"/>
    <x v="0"/>
    <s v="10:45"/>
    <s v="20:15"/>
    <n v="9.5"/>
    <s v="Late"/>
    <s v="Full Day"/>
    <s v="Full Day"/>
    <s v="✓ Match"/>
    <x v="0"/>
  </r>
  <r>
    <s v="EMP002"/>
    <s v="Priya Sharma"/>
    <x v="0"/>
    <x v="16"/>
    <x v="0"/>
    <s v="08:30"/>
    <s v="16:15"/>
    <n v="7.75"/>
    <s v="On Time"/>
    <s v="Half Day"/>
    <s v="Half Day"/>
    <s v="✓ Match"/>
    <x v="0"/>
  </r>
  <r>
    <s v="EMP008"/>
    <s v="Divya"/>
    <x v="1"/>
    <x v="16"/>
    <x v="0"/>
    <s v="10:20"/>
    <s v="17:00"/>
    <n v="6.666666666666667"/>
    <s v="Late"/>
    <s v="Half Day"/>
    <s v="Half Day"/>
    <s v="✓ Match"/>
    <x v="0"/>
  </r>
  <r>
    <s v="EMP026"/>
    <s v="Gayathri S"/>
    <x v="1"/>
    <x v="16"/>
    <x v="0"/>
    <s v="09:45"/>
    <s v="16:20"/>
    <n v="6.5833333333333313"/>
    <s v="Late"/>
    <s v="Half Day"/>
    <s v="Half Day"/>
    <s v="✓ Match"/>
    <x v="0"/>
  </r>
  <r>
    <s v="EMP024"/>
    <s v="Maheswari"/>
    <x v="3"/>
    <x v="16"/>
    <x v="2"/>
    <s v="08:10"/>
    <s v="15:00"/>
    <n v="6.8333333333333339"/>
    <s v="On Time"/>
    <s v="Half Day"/>
    <s v="Half Day"/>
    <s v="✓ Match"/>
    <x v="0"/>
  </r>
  <r>
    <s v="EMP004"/>
    <s v="Sneha Reddy"/>
    <x v="0"/>
    <x v="16"/>
    <x v="0"/>
    <s v="11:10"/>
    <s v="19:45"/>
    <n v="8.5833333333333339"/>
    <s v="Late"/>
    <s v="Full Day"/>
    <s v="Full Day"/>
    <s v="✓ Match"/>
    <x v="0"/>
  </r>
  <r>
    <s v="EMP029"/>
    <s v="Sanjana Roy"/>
    <x v="1"/>
    <x v="16"/>
    <x v="0"/>
    <s v="08:20"/>
    <s v="18:30"/>
    <n v="10.166666666666666"/>
    <s v="On Time"/>
    <s v="Full Day"/>
    <s v="Full Day"/>
    <s v="✓ Match"/>
    <x v="0"/>
  </r>
  <r>
    <s v="EMP003"/>
    <s v="Rahul Verma"/>
    <x v="2"/>
    <x v="16"/>
    <x v="2"/>
    <s v="09:10"/>
    <s v="16:15"/>
    <n v="7.0833333333333348"/>
    <s v="Late"/>
    <s v="Half Day"/>
    <s v="Half Day"/>
    <s v="✓ Match"/>
    <x v="0"/>
  </r>
  <r>
    <s v="EMP027"/>
    <s v="Ashok Kumar"/>
    <x v="0"/>
    <x v="16"/>
    <x v="0"/>
    <s v="08:10"/>
    <s v="18:15"/>
    <n v="10.083333333333334"/>
    <s v="On Time"/>
    <s v="Full Day"/>
    <s v="Full Day"/>
    <s v="✓ Match"/>
    <x v="0"/>
  </r>
  <r>
    <s v="EMP010"/>
    <s v="Meena"/>
    <x v="3"/>
    <x v="17"/>
    <x v="1"/>
    <s v="No Login"/>
    <s v="No Logout"/>
    <n v="0"/>
    <s v=""/>
    <s v="Absent"/>
    <s v="N/A"/>
    <s v="⚠ Mismatch"/>
    <x v="1"/>
  </r>
  <r>
    <s v="EMP011"/>
    <s v="Ajay Rao"/>
    <x v="3"/>
    <x v="17"/>
    <x v="0"/>
    <s v="09:10"/>
    <s v="20:30"/>
    <n v="11.333333333333332"/>
    <s v="Late"/>
    <s v="Full Day"/>
    <s v="Full Day"/>
    <s v="✓ Match"/>
    <x v="0"/>
  </r>
  <r>
    <s v="EMP003"/>
    <s v="Rahul Verma"/>
    <x v="2"/>
    <x v="17"/>
    <x v="0"/>
    <s v="08:00"/>
    <s v="16:45"/>
    <n v="8.75"/>
    <s v="On Time"/>
    <s v="Full Day"/>
    <s v="Full Day"/>
    <s v="✓ Match"/>
    <x v="0"/>
  </r>
  <r>
    <s v="EMP022"/>
    <s v="Swathi Rao"/>
    <x v="4"/>
    <x v="17"/>
    <x v="0"/>
    <s v="09:45"/>
    <s v="20:45"/>
    <n v="11"/>
    <s v="Late"/>
    <s v="Full Day"/>
    <s v="Full Day"/>
    <s v="✓ Match"/>
    <x v="0"/>
  </r>
  <r>
    <s v="EMP018"/>
    <s v="Aisha Khan"/>
    <x v="0"/>
    <x v="17"/>
    <x v="1"/>
    <s v="No Login"/>
    <s v="No Logout"/>
    <n v="0"/>
    <s v=""/>
    <s v="Absent"/>
    <s v="N/A"/>
    <s v="⚠ Mismatch"/>
    <x v="1"/>
  </r>
  <r>
    <s v="EMP001"/>
    <s v="Arun Kumar"/>
    <x v="2"/>
    <x v="17"/>
    <x v="0"/>
    <s v="08:10"/>
    <s v="17:30"/>
    <n v="9.3333333333333339"/>
    <s v="On Time"/>
    <s v="Full Day"/>
    <s v="Full Day"/>
    <s v="✓ Match"/>
    <x v="0"/>
  </r>
  <r>
    <s v="EMP007"/>
    <s v="Karan Patel"/>
    <x v="3"/>
    <x v="17"/>
    <x v="0"/>
    <s v="10:20"/>
    <s v="20:45"/>
    <n v="10.416666666666668"/>
    <s v="Late"/>
    <s v="Full Day"/>
    <s v="Full Day"/>
    <s v="✓ Match"/>
    <x v="0"/>
  </r>
  <r>
    <s v="EMP025"/>
    <s v="Varun Sethi"/>
    <x v="2"/>
    <x v="17"/>
    <x v="1"/>
    <s v="No Login"/>
    <s v="No Logout"/>
    <n v="0"/>
    <s v=""/>
    <s v="Absent"/>
    <s v="N/A"/>
    <s v="⚠ Mismatch"/>
    <x v="1"/>
  </r>
  <r>
    <s v="EMP029"/>
    <s v="Sanjana Roy"/>
    <x v="1"/>
    <x v="17"/>
    <x v="0"/>
    <s v="09:20"/>
    <s v="19:20"/>
    <n v="9.9999999999999982"/>
    <s v="Late"/>
    <s v="Full Day"/>
    <s v="Full Day"/>
    <s v="✓ Match"/>
    <x v="0"/>
  </r>
  <r>
    <s v="EMP013"/>
    <s v="Ramesh"/>
    <x v="0"/>
    <x v="17"/>
    <x v="0"/>
    <s v="10:45"/>
    <s v="20:10"/>
    <n v="9.4166666666666661"/>
    <s v="Late"/>
    <s v="Full Day"/>
    <s v="Full Day"/>
    <s v="✓ Match"/>
    <x v="0"/>
  </r>
  <r>
    <s v="EMP028"/>
    <s v="Naveen Raj"/>
    <x v="1"/>
    <x v="17"/>
    <x v="0"/>
    <s v="09:20"/>
    <s v="20:15"/>
    <n v="10.916666666666666"/>
    <s v="Late"/>
    <s v="Full Day"/>
    <s v="Full Day"/>
    <s v="✓ Match"/>
    <x v="0"/>
  </r>
  <r>
    <s v="EMP015"/>
    <s v="Manoj"/>
    <x v="3"/>
    <x v="17"/>
    <x v="0"/>
    <s v="09:30"/>
    <s v="16:10"/>
    <n v="6.6666666666666679"/>
    <s v="Late"/>
    <s v="Half Day"/>
    <s v="Half Day"/>
    <s v="✓ Match"/>
    <x v="0"/>
  </r>
  <r>
    <s v="EMP024"/>
    <s v="Maheswari"/>
    <x v="3"/>
    <x v="17"/>
    <x v="2"/>
    <s v="08:10"/>
    <s v="16:15"/>
    <n v="8.0833333333333357"/>
    <s v="On Time"/>
    <s v="Full Day"/>
    <s v="Full Day"/>
    <s v="✓ Match"/>
    <x v="0"/>
  </r>
  <r>
    <s v="EMP017"/>
    <s v="Deepak"/>
    <x v="2"/>
    <x v="17"/>
    <x v="0"/>
    <s v="09:20"/>
    <s v="19:45"/>
    <n v="10.416666666666666"/>
    <s v="Late"/>
    <s v="Full Day"/>
    <s v="Full Day"/>
    <s v="✓ Match"/>
    <x v="0"/>
  </r>
  <r>
    <s v="EMP006"/>
    <s v="Anjali"/>
    <x v="1"/>
    <x v="17"/>
    <x v="0"/>
    <s v="09:45"/>
    <s v="18:30"/>
    <n v="8.75"/>
    <s v="Late"/>
    <s v="Full Day"/>
    <s v="Full Day"/>
    <s v="✓ Match"/>
    <x v="0"/>
  </r>
  <r>
    <s v="EMP016"/>
    <s v="Kavya Menon"/>
    <x v="1"/>
    <x v="17"/>
    <x v="0"/>
    <s v="08:05"/>
    <s v="18:45"/>
    <n v="10.666666666666666"/>
    <s v="On Time"/>
    <s v="Full Day"/>
    <s v="Full Day"/>
    <s v="✓ Match"/>
    <x v="0"/>
  </r>
  <r>
    <s v="EMP030"/>
    <s v="Mohit Agarwal"/>
    <x v="1"/>
    <x v="17"/>
    <x v="1"/>
    <s v="No Login"/>
    <s v="No Logout"/>
    <n v="0"/>
    <s v=""/>
    <s v="Absent"/>
    <s v="N/A"/>
    <s v="⚠ Mismatch"/>
    <x v="1"/>
  </r>
  <r>
    <s v="EMP008"/>
    <s v="Divya"/>
    <x v="1"/>
    <x v="17"/>
    <x v="0"/>
    <s v="09:00"/>
    <s v="18:15"/>
    <n v="9.25"/>
    <s v="On Time"/>
    <s v="Full Day"/>
    <s v="Full Day"/>
    <s v="✓ Match"/>
    <x v="0"/>
  </r>
  <r>
    <s v="EMP023"/>
    <s v="Harish Kumar"/>
    <x v="2"/>
    <x v="17"/>
    <x v="0"/>
    <s v="09:20"/>
    <s v="19:10"/>
    <n v="9.8333333333333339"/>
    <s v="Late"/>
    <s v="Full Day"/>
    <s v="Full Day"/>
    <s v="✓ Match"/>
    <x v="0"/>
  </r>
  <r>
    <s v="EMP019"/>
    <s v="Rohit Malhotra"/>
    <x v="4"/>
    <x v="17"/>
    <x v="1"/>
    <s v="No Login"/>
    <s v="No Logout"/>
    <n v="0"/>
    <s v=""/>
    <s v="Absent"/>
    <s v="N/A"/>
    <s v="⚠ Mismatch"/>
    <x v="1"/>
  </r>
  <r>
    <s v="EMP005"/>
    <s v="Vijay"/>
    <x v="1"/>
    <x v="17"/>
    <x v="2"/>
    <s v="08:20"/>
    <s v="17:10"/>
    <n v="8.8333333333333321"/>
    <s v="On Time"/>
    <s v="Full Day"/>
    <s v="Full Day"/>
    <s v="✓ Match"/>
    <x v="0"/>
  </r>
  <r>
    <s v="EMP027"/>
    <s v="Ashok Kumar"/>
    <x v="0"/>
    <x v="17"/>
    <x v="1"/>
    <s v="No Login"/>
    <s v="No Logout"/>
    <n v="0"/>
    <s v=""/>
    <s v="Absent"/>
    <s v="N/A"/>
    <s v="⚠ Mismatch"/>
    <x v="1"/>
  </r>
  <r>
    <s v="EMP020"/>
    <s v="Lakshmi Devi"/>
    <x v="0"/>
    <x v="17"/>
    <x v="0"/>
    <s v="09:30"/>
    <s v="19:30"/>
    <n v="10"/>
    <s v="Late"/>
    <s v="Full Day"/>
    <s v="Full Day"/>
    <s v="✓ Match"/>
    <x v="0"/>
  </r>
  <r>
    <s v="EMP026"/>
    <s v="Gayathri S"/>
    <x v="1"/>
    <x v="17"/>
    <x v="1"/>
    <s v="No Login"/>
    <s v="No Logout"/>
    <n v="0"/>
    <s v=""/>
    <s v="Absent"/>
    <s v="N/A"/>
    <s v="⚠ Mismatch"/>
    <x v="1"/>
  </r>
  <r>
    <s v="EMP014"/>
    <s v="Neha"/>
    <x v="0"/>
    <x v="17"/>
    <x v="1"/>
    <s v="No Login"/>
    <s v="No Logout"/>
    <n v="0"/>
    <s v=""/>
    <s v="Absent"/>
    <s v="N/A"/>
    <s v="⚠ Mismatch"/>
    <x v="1"/>
  </r>
  <r>
    <s v="EMP004"/>
    <s v="Sneha Reddy"/>
    <x v="0"/>
    <x v="17"/>
    <x v="0"/>
    <s v="09:15"/>
    <s v="17:30"/>
    <n v="8.2499999999999982"/>
    <s v="Late"/>
    <s v="Full Day"/>
    <s v="Full Day"/>
    <s v="✓ Match"/>
    <x v="0"/>
  </r>
  <r>
    <s v="EMP009"/>
    <s v="Suresh Babu"/>
    <x v="2"/>
    <x v="17"/>
    <x v="0"/>
    <s v="11:20"/>
    <s v="20:45"/>
    <n v="9.4166666666666661"/>
    <s v="Late"/>
    <s v="Full Day"/>
    <s v="Full Day"/>
    <s v="✓ Match"/>
    <x v="0"/>
  </r>
  <r>
    <s v="EMP002"/>
    <s v="Priya Sharma"/>
    <x v="0"/>
    <x v="17"/>
    <x v="2"/>
    <s v="10:05"/>
    <s v="20:30"/>
    <n v="10.416666666666666"/>
    <s v="Late"/>
    <s v="Full Day"/>
    <s v="Full Day"/>
    <s v="✓ Match"/>
    <x v="0"/>
  </r>
  <r>
    <s v="EMP012"/>
    <s v="Pooja Das"/>
    <x v="0"/>
    <x v="17"/>
    <x v="0"/>
    <s v="10:20"/>
    <s v="20:10"/>
    <n v="9.8333333333333321"/>
    <s v="Late"/>
    <s v="Full Day"/>
    <s v="Full Day"/>
    <s v="✓ Match"/>
    <x v="0"/>
  </r>
  <r>
    <s v="EMP021"/>
    <s v="Nitin Sharma"/>
    <x v="0"/>
    <x v="17"/>
    <x v="0"/>
    <s v="11:15"/>
    <s v="20:15"/>
    <n v="9"/>
    <s v="Late"/>
    <s v="Full Day"/>
    <s v="Full Day"/>
    <s v="✓ Match"/>
    <x v="0"/>
  </r>
  <r>
    <s v="EMP022"/>
    <s v="Swathi Rao"/>
    <x v="4"/>
    <x v="18"/>
    <x v="0"/>
    <s v="10:05"/>
    <s v="20:45"/>
    <n v="10.666666666666668"/>
    <s v="Late"/>
    <s v="Full Day"/>
    <s v="Full Day"/>
    <s v="✓ Match"/>
    <x v="0"/>
  </r>
  <r>
    <s v="EMP014"/>
    <s v="Neha"/>
    <x v="0"/>
    <x v="18"/>
    <x v="0"/>
    <s v="10:45"/>
    <s v="19:00"/>
    <n v="8.2499999999999982"/>
    <s v="Late"/>
    <s v="Full Day"/>
    <s v="Full Day"/>
    <s v="✓ Match"/>
    <x v="0"/>
  </r>
  <r>
    <s v="EMP002"/>
    <s v="Priya Sharma"/>
    <x v="0"/>
    <x v="18"/>
    <x v="2"/>
    <s v="08:15"/>
    <s v="20:15"/>
    <n v="12"/>
    <s v="On Time"/>
    <s v="Full Day"/>
    <s v="Full Day"/>
    <s v="✓ Match"/>
    <x v="0"/>
  </r>
  <r>
    <s v="EMP030"/>
    <s v="Mohit Agarwal"/>
    <x v="1"/>
    <x v="18"/>
    <x v="2"/>
    <s v="10:45"/>
    <s v="19:45"/>
    <n v="8.9999999999999982"/>
    <s v="Late"/>
    <s v="Full Day"/>
    <s v="Full Day"/>
    <s v="✓ Match"/>
    <x v="0"/>
  </r>
  <r>
    <s v="EMP012"/>
    <s v="Pooja Das"/>
    <x v="0"/>
    <x v="18"/>
    <x v="0"/>
    <s v="10:00"/>
    <s v="18:20"/>
    <n v="8.3333333333333321"/>
    <s v="Late"/>
    <s v="Full Day"/>
    <s v="Full Day"/>
    <s v="✓ Match"/>
    <x v="0"/>
  </r>
  <r>
    <s v="EMP018"/>
    <s v="Aisha Khan"/>
    <x v="0"/>
    <x v="18"/>
    <x v="0"/>
    <s v="08:00"/>
    <s v="17:10"/>
    <n v="9.1666666666666679"/>
    <s v="On Time"/>
    <s v="Full Day"/>
    <s v="Full Day"/>
    <s v="✓ Match"/>
    <x v="0"/>
  </r>
  <r>
    <s v="EMP025"/>
    <s v="Varun Sethi"/>
    <x v="2"/>
    <x v="18"/>
    <x v="2"/>
    <s v="08:15"/>
    <s v="16:20"/>
    <n v="8.0833333333333321"/>
    <s v="On Time"/>
    <s v="Full Day"/>
    <s v="Full Day"/>
    <s v="✓ Match"/>
    <x v="0"/>
  </r>
  <r>
    <s v="EMP011"/>
    <s v="Ajay Rao"/>
    <x v="3"/>
    <x v="18"/>
    <x v="0"/>
    <s v="10:30"/>
    <s v="20:10"/>
    <n v="9.6666666666666679"/>
    <s v="Late"/>
    <s v="Full Day"/>
    <s v="Full Day"/>
    <s v="✓ Match"/>
    <x v="0"/>
  </r>
  <r>
    <s v="EMP029"/>
    <s v="Sanjana Roy"/>
    <x v="1"/>
    <x v="18"/>
    <x v="0"/>
    <s v="08:15"/>
    <s v="20:30"/>
    <n v="12.25"/>
    <s v="On Time"/>
    <s v="Full Day"/>
    <s v="Full Day"/>
    <s v="✓ Match"/>
    <x v="0"/>
  </r>
  <r>
    <s v="EMP006"/>
    <s v="Anjali"/>
    <x v="1"/>
    <x v="18"/>
    <x v="0"/>
    <s v="09:20"/>
    <s v="17:45"/>
    <n v="8.4166666666666679"/>
    <s v="Late"/>
    <s v="Full Day"/>
    <s v="Full Day"/>
    <s v="✓ Match"/>
    <x v="0"/>
  </r>
  <r>
    <s v="EMP019"/>
    <s v="Rohit Malhotra"/>
    <x v="4"/>
    <x v="18"/>
    <x v="1"/>
    <s v="No Login"/>
    <s v="No Logout"/>
    <n v="0"/>
    <s v=""/>
    <s v="Absent"/>
    <s v="N/A"/>
    <s v="⚠ Mismatch"/>
    <x v="1"/>
  </r>
  <r>
    <s v="EMP023"/>
    <s v="Harish Kumar"/>
    <x v="2"/>
    <x v="18"/>
    <x v="2"/>
    <s v="10:20"/>
    <s v="19:00"/>
    <n v="8.6666666666666643"/>
    <s v="Late"/>
    <s v="Full Day"/>
    <s v="Full Day"/>
    <s v="✓ Match"/>
    <x v="0"/>
  </r>
  <r>
    <s v="EMP009"/>
    <s v="Suresh Babu"/>
    <x v="2"/>
    <x v="18"/>
    <x v="0"/>
    <s v="10:15"/>
    <s v="20:45"/>
    <n v="10.500000000000002"/>
    <s v="Late"/>
    <s v="Full Day"/>
    <s v="Full Day"/>
    <s v="✓ Match"/>
    <x v="0"/>
  </r>
  <r>
    <s v="EMP028"/>
    <s v="Naveen Raj"/>
    <x v="1"/>
    <x v="18"/>
    <x v="0"/>
    <s v="09:05"/>
    <s v="16:45"/>
    <n v="7.6666666666666643"/>
    <s v="Late"/>
    <s v="Half Day"/>
    <s v="Half Day"/>
    <s v="✓ Match"/>
    <x v="0"/>
  </r>
  <r>
    <s v="EMP024"/>
    <s v="Maheswari"/>
    <x v="3"/>
    <x v="18"/>
    <x v="0"/>
    <s v="08:05"/>
    <s v="18:15"/>
    <n v="10.166666666666664"/>
    <s v="On Time"/>
    <s v="Full Day"/>
    <s v="Full Day"/>
    <s v="✓ Match"/>
    <x v="0"/>
  </r>
  <r>
    <s v="EMP016"/>
    <s v="Kavya Menon"/>
    <x v="1"/>
    <x v="18"/>
    <x v="0"/>
    <s v="09:20"/>
    <s v="19:10"/>
    <n v="9.8333333333333339"/>
    <s v="Late"/>
    <s v="Full Day"/>
    <s v="Full Day"/>
    <s v="✓ Match"/>
    <x v="0"/>
  </r>
  <r>
    <s v="EMP005"/>
    <s v="Vijay"/>
    <x v="1"/>
    <x v="18"/>
    <x v="0"/>
    <s v="08:30"/>
    <s v="19:10"/>
    <n v="10.666666666666668"/>
    <s v="On Time"/>
    <s v="Full Day"/>
    <s v="Full Day"/>
    <s v="✓ Match"/>
    <x v="0"/>
  </r>
  <r>
    <s v="EMP004"/>
    <s v="Sneha Reddy"/>
    <x v="0"/>
    <x v="18"/>
    <x v="0"/>
    <s v="10:10"/>
    <s v="20:45"/>
    <n v="10.583333333333334"/>
    <s v="Late"/>
    <s v="Full Day"/>
    <s v="Full Day"/>
    <s v="✓ Match"/>
    <x v="0"/>
  </r>
  <r>
    <s v="EMP013"/>
    <s v="Ramesh"/>
    <x v="0"/>
    <x v="18"/>
    <x v="2"/>
    <s v="08:00"/>
    <s v="18:20"/>
    <n v="10.333333333333332"/>
    <s v="On Time"/>
    <s v="Full Day"/>
    <s v="Full Day"/>
    <s v="✓ Match"/>
    <x v="0"/>
  </r>
  <r>
    <s v="EMP017"/>
    <s v="Deepak"/>
    <x v="2"/>
    <x v="18"/>
    <x v="1"/>
    <s v="No Login"/>
    <s v="No Logout"/>
    <n v="0"/>
    <s v=""/>
    <s v="Absent"/>
    <s v="N/A"/>
    <s v="⚠ Mismatch"/>
    <x v="1"/>
  </r>
  <r>
    <s v="EMP007"/>
    <s v="Karan Patel"/>
    <x v="3"/>
    <x v="18"/>
    <x v="0"/>
    <s v="08:10"/>
    <s v="20:20"/>
    <n v="12.166666666666666"/>
    <s v="On Time"/>
    <s v="Full Day"/>
    <s v="Full Day"/>
    <s v="✓ Match"/>
    <x v="0"/>
  </r>
  <r>
    <s v="EMP026"/>
    <s v="Gayathri S"/>
    <x v="1"/>
    <x v="18"/>
    <x v="1"/>
    <s v="No Login"/>
    <s v="No Logout"/>
    <n v="0"/>
    <s v=""/>
    <s v="Absent"/>
    <s v="N/A"/>
    <s v="⚠ Mismatch"/>
    <x v="1"/>
  </r>
  <r>
    <s v="EMP021"/>
    <s v="Nitin Sharma"/>
    <x v="0"/>
    <x v="18"/>
    <x v="1"/>
    <s v="No Login"/>
    <s v="No Logout"/>
    <n v="0"/>
    <s v=""/>
    <s v="Absent"/>
    <s v="N/A"/>
    <s v="⚠ Mismatch"/>
    <x v="1"/>
  </r>
  <r>
    <s v="EMP008"/>
    <s v="Divya"/>
    <x v="1"/>
    <x v="18"/>
    <x v="0"/>
    <s v="10:00"/>
    <s v="20:10"/>
    <n v="10.166666666666666"/>
    <s v="Late"/>
    <s v="Full Day"/>
    <s v="Full Day"/>
    <s v="✓ Match"/>
    <x v="0"/>
  </r>
  <r>
    <s v="EMP003"/>
    <s v="Rahul Verma"/>
    <x v="2"/>
    <x v="18"/>
    <x v="1"/>
    <s v="No Login"/>
    <s v="No Logout"/>
    <n v="0"/>
    <s v=""/>
    <s v="Absent"/>
    <s v="N/A"/>
    <s v="⚠ Mismatch"/>
    <x v="1"/>
  </r>
  <r>
    <s v="EMP015"/>
    <s v="Manoj"/>
    <x v="3"/>
    <x v="18"/>
    <x v="0"/>
    <s v="09:00"/>
    <s v="18:15"/>
    <n v="9.25"/>
    <s v="On Time"/>
    <s v="Full Day"/>
    <s v="Full Day"/>
    <s v="✓ Match"/>
    <x v="0"/>
  </r>
  <r>
    <s v="EMP010"/>
    <s v="Meena"/>
    <x v="3"/>
    <x v="18"/>
    <x v="0"/>
    <s v="11:10"/>
    <s v="20:45"/>
    <n v="9.5833333333333357"/>
    <s v="Late"/>
    <s v="Full Day"/>
    <s v="Full Day"/>
    <s v="✓ Match"/>
    <x v="0"/>
  </r>
  <r>
    <s v="EMP020"/>
    <s v="Lakshmi Devi"/>
    <x v="0"/>
    <x v="18"/>
    <x v="0"/>
    <s v="10:00"/>
    <s v="20:15"/>
    <n v="10.25"/>
    <s v="Late"/>
    <s v="Full Day"/>
    <s v="Full Day"/>
    <s v="✓ Match"/>
    <x v="0"/>
  </r>
  <r>
    <s v="EMP001"/>
    <s v="Arun Kumar"/>
    <x v="2"/>
    <x v="18"/>
    <x v="2"/>
    <s v="10:10"/>
    <s v="17:15"/>
    <n v="7.0833333333333339"/>
    <s v="Late"/>
    <s v="Half Day"/>
    <s v="Half Day"/>
    <s v="✓ Match"/>
    <x v="0"/>
  </r>
  <r>
    <s v="EMP027"/>
    <s v="Ashok Kumar"/>
    <x v="0"/>
    <x v="18"/>
    <x v="2"/>
    <s v="08:30"/>
    <s v="19:00"/>
    <n v="10.499999999999998"/>
    <s v="On Time"/>
    <s v="Full Day"/>
    <s v="Full Day"/>
    <s v="✓ Match"/>
    <x v="0"/>
  </r>
  <r>
    <s v="EMP023"/>
    <s v="Harish Kumar"/>
    <x v="2"/>
    <x v="19"/>
    <x v="0"/>
    <s v="08:05"/>
    <s v="19:20"/>
    <n v="11.249999999999996"/>
    <s v="On Time"/>
    <s v="Full Day"/>
    <s v="Full Day"/>
    <s v="✓ Match"/>
    <x v="0"/>
  </r>
  <r>
    <s v="EMP022"/>
    <s v="Swathi Rao"/>
    <x v="4"/>
    <x v="19"/>
    <x v="0"/>
    <s v="09:30"/>
    <s v="20:10"/>
    <n v="10.666666666666668"/>
    <s v="Late"/>
    <s v="Full Day"/>
    <s v="Full Day"/>
    <s v="✓ Match"/>
    <x v="0"/>
  </r>
  <r>
    <s v="EMP015"/>
    <s v="Manoj"/>
    <x v="3"/>
    <x v="19"/>
    <x v="0"/>
    <s v="09:00"/>
    <s v="18:00"/>
    <n v="9"/>
    <s v="On Time"/>
    <s v="Full Day"/>
    <s v="Full Day"/>
    <s v="✓ Match"/>
    <x v="0"/>
  </r>
  <r>
    <s v="EMP014"/>
    <s v="Neha"/>
    <x v="0"/>
    <x v="19"/>
    <x v="0"/>
    <s v="09:45"/>
    <s v="16:20"/>
    <n v="6.5833333333333313"/>
    <s v="Late"/>
    <s v="Half Day"/>
    <s v="Half Day"/>
    <s v="✓ Match"/>
    <x v="0"/>
  </r>
  <r>
    <s v="EMP009"/>
    <s v="Suresh Babu"/>
    <x v="2"/>
    <x v="19"/>
    <x v="0"/>
    <s v="10:20"/>
    <s v="20:30"/>
    <n v="10.166666666666664"/>
    <s v="Late"/>
    <s v="Full Day"/>
    <s v="Full Day"/>
    <s v="✓ Match"/>
    <x v="0"/>
  </r>
  <r>
    <s v="EMP006"/>
    <s v="Anjali"/>
    <x v="1"/>
    <x v="19"/>
    <x v="1"/>
    <s v="No Login"/>
    <s v="No Logout"/>
    <n v="0"/>
    <s v=""/>
    <s v="Absent"/>
    <s v="N/A"/>
    <s v="⚠ Mismatch"/>
    <x v="1"/>
  </r>
  <r>
    <s v="EMP010"/>
    <s v="Meena"/>
    <x v="3"/>
    <x v="19"/>
    <x v="1"/>
    <s v="No Login"/>
    <s v="No Logout"/>
    <n v="0"/>
    <s v=""/>
    <s v="Absent"/>
    <s v="N/A"/>
    <s v="⚠ Mismatch"/>
    <x v="1"/>
  </r>
  <r>
    <s v="EMP027"/>
    <s v="Ashok Kumar"/>
    <x v="0"/>
    <x v="19"/>
    <x v="0"/>
    <s v="08:30"/>
    <s v="15:00"/>
    <n v="6.5"/>
    <s v="On Time"/>
    <s v="Half Day"/>
    <s v="Half Day"/>
    <s v="✓ Match"/>
    <x v="0"/>
  </r>
  <r>
    <s v="EMP003"/>
    <s v="Rahul Verma"/>
    <x v="2"/>
    <x v="19"/>
    <x v="1"/>
    <s v="No Login"/>
    <s v="No Logout"/>
    <n v="0"/>
    <s v=""/>
    <s v="Absent"/>
    <s v="N/A"/>
    <s v="⚠ Mismatch"/>
    <x v="1"/>
  </r>
  <r>
    <s v="EMP002"/>
    <s v="Priya Sharma"/>
    <x v="0"/>
    <x v="19"/>
    <x v="0"/>
    <s v="11:15"/>
    <s v="19:20"/>
    <n v="8.0833333333333321"/>
    <s v="Late"/>
    <s v="Full Day"/>
    <s v="Full Day"/>
    <s v="✓ Match"/>
    <x v="0"/>
  </r>
  <r>
    <s v="EMP012"/>
    <s v="Pooja Das"/>
    <x v="0"/>
    <x v="19"/>
    <x v="0"/>
    <s v="09:05"/>
    <s v="18:30"/>
    <n v="9.4166666666666661"/>
    <s v="Late"/>
    <s v="Full Day"/>
    <s v="Full Day"/>
    <s v="✓ Match"/>
    <x v="0"/>
  </r>
  <r>
    <s v="EMP019"/>
    <s v="Rohit Malhotra"/>
    <x v="4"/>
    <x v="19"/>
    <x v="2"/>
    <s v="08:15"/>
    <s v="15:15"/>
    <n v="6.9999999999999991"/>
    <s v="On Time"/>
    <s v="Half Day"/>
    <s v="Half Day"/>
    <s v="✓ Match"/>
    <x v="0"/>
  </r>
  <r>
    <s v="EMP025"/>
    <s v="Varun Sethi"/>
    <x v="2"/>
    <x v="19"/>
    <x v="2"/>
    <s v="09:30"/>
    <s v="20:20"/>
    <n v="10.833333333333334"/>
    <s v="Late"/>
    <s v="Full Day"/>
    <s v="Full Day"/>
    <s v="✓ Match"/>
    <x v="0"/>
  </r>
  <r>
    <s v="EMP004"/>
    <s v="Sneha Reddy"/>
    <x v="0"/>
    <x v="19"/>
    <x v="0"/>
    <s v="09:20"/>
    <s v="19:30"/>
    <n v="10.166666666666666"/>
    <s v="Late"/>
    <s v="Full Day"/>
    <s v="Full Day"/>
    <s v="✓ Match"/>
    <x v="0"/>
  </r>
  <r>
    <s v="EMP018"/>
    <s v="Aisha Khan"/>
    <x v="0"/>
    <x v="19"/>
    <x v="0"/>
    <s v="08:00"/>
    <s v="19:00"/>
    <n v="11"/>
    <s v="On Time"/>
    <s v="Full Day"/>
    <s v="Full Day"/>
    <s v="✓ Match"/>
    <x v="0"/>
  </r>
  <r>
    <s v="EMP005"/>
    <s v="Vijay"/>
    <x v="1"/>
    <x v="19"/>
    <x v="1"/>
    <s v="No Login"/>
    <s v="No Logout"/>
    <n v="0"/>
    <s v=""/>
    <s v="Absent"/>
    <s v="N/A"/>
    <s v="⚠ Mismatch"/>
    <x v="1"/>
  </r>
  <r>
    <s v="EMP007"/>
    <s v="Karan Patel"/>
    <x v="3"/>
    <x v="19"/>
    <x v="1"/>
    <s v="No Login"/>
    <s v="No Logout"/>
    <n v="0"/>
    <s v=""/>
    <s v="Absent"/>
    <s v="N/A"/>
    <s v="⚠ Mismatch"/>
    <x v="1"/>
  </r>
  <r>
    <s v="EMP001"/>
    <s v="Arun Kumar"/>
    <x v="2"/>
    <x v="19"/>
    <x v="0"/>
    <s v="10:10"/>
    <s v="19:30"/>
    <n v="9.3333333333333339"/>
    <s v="Late"/>
    <s v="Full Day"/>
    <s v="Full Day"/>
    <s v="✓ Match"/>
    <x v="0"/>
  </r>
  <r>
    <s v="EMP020"/>
    <s v="Lakshmi Devi"/>
    <x v="0"/>
    <x v="19"/>
    <x v="0"/>
    <s v="10:45"/>
    <s v="20:45"/>
    <n v="10"/>
    <s v="Late"/>
    <s v="Full Day"/>
    <s v="Full Day"/>
    <s v="✓ Match"/>
    <x v="0"/>
  </r>
  <r>
    <s v="EMP024"/>
    <s v="Maheswari"/>
    <x v="3"/>
    <x v="19"/>
    <x v="0"/>
    <s v="10:05"/>
    <s v="17:00"/>
    <n v="6.9166666666666679"/>
    <s v="Late"/>
    <s v="Half Day"/>
    <s v="Half Day"/>
    <s v="✓ Match"/>
    <x v="0"/>
  </r>
  <r>
    <s v="EMP029"/>
    <s v="Sanjana Roy"/>
    <x v="1"/>
    <x v="19"/>
    <x v="0"/>
    <s v="10:00"/>
    <s v="18:10"/>
    <n v="8.1666666666666679"/>
    <s v="Late"/>
    <s v="Full Day"/>
    <s v="Full Day"/>
    <s v="✓ Match"/>
    <x v="0"/>
  </r>
  <r>
    <s v="EMP017"/>
    <s v="Deepak"/>
    <x v="2"/>
    <x v="19"/>
    <x v="0"/>
    <s v="08:05"/>
    <s v="19:00"/>
    <n v="10.916666666666664"/>
    <s v="On Time"/>
    <s v="Full Day"/>
    <s v="Full Day"/>
    <s v="✓ Match"/>
    <x v="0"/>
  </r>
  <r>
    <s v="EMP026"/>
    <s v="Gayathri S"/>
    <x v="1"/>
    <x v="19"/>
    <x v="0"/>
    <s v="10:05"/>
    <s v="20:15"/>
    <n v="10.166666666666666"/>
    <s v="Late"/>
    <s v="Full Day"/>
    <s v="Full Day"/>
    <s v="✓ Match"/>
    <x v="0"/>
  </r>
  <r>
    <s v="EMP028"/>
    <s v="Naveen Raj"/>
    <x v="1"/>
    <x v="19"/>
    <x v="1"/>
    <s v="No Login"/>
    <s v="No Logout"/>
    <n v="0"/>
    <s v=""/>
    <s v="Absent"/>
    <s v="N/A"/>
    <s v="⚠ Mismatch"/>
    <x v="1"/>
  </r>
  <r>
    <s v="EMP030"/>
    <s v="Mohit Agarwal"/>
    <x v="1"/>
    <x v="19"/>
    <x v="0"/>
    <s v="09:15"/>
    <s v="20:45"/>
    <n v="11.5"/>
    <s v="Late"/>
    <s v="Full Day"/>
    <s v="Full Day"/>
    <s v="✓ Match"/>
    <x v="0"/>
  </r>
  <r>
    <s v="EMP008"/>
    <s v="Divya"/>
    <x v="1"/>
    <x v="19"/>
    <x v="1"/>
    <s v="No Login"/>
    <s v="No Logout"/>
    <n v="0"/>
    <s v=""/>
    <s v="Absent"/>
    <s v="N/A"/>
    <s v="⚠ Mismatch"/>
    <x v="1"/>
  </r>
  <r>
    <s v="EMP016"/>
    <s v="Kavya Menon"/>
    <x v="1"/>
    <x v="19"/>
    <x v="0"/>
    <s v="10:30"/>
    <s v="17:20"/>
    <n v="6.833333333333333"/>
    <s v="Late"/>
    <s v="Half Day"/>
    <s v="Half Day"/>
    <s v="✓ Match"/>
    <x v="0"/>
  </r>
  <r>
    <s v="EMP011"/>
    <s v="Ajay Rao"/>
    <x v="3"/>
    <x v="19"/>
    <x v="0"/>
    <s v="09:00"/>
    <s v="20:30"/>
    <n v="11.5"/>
    <s v="On Time"/>
    <s v="Full Day"/>
    <s v="Full Day"/>
    <s v="✓ Match"/>
    <x v="0"/>
  </r>
  <r>
    <s v="EMP021"/>
    <s v="Nitin Sharma"/>
    <x v="0"/>
    <x v="19"/>
    <x v="0"/>
    <s v="09:15"/>
    <s v="19:20"/>
    <n v="10.08333333333333"/>
    <s v="Late"/>
    <s v="Full Day"/>
    <s v="Full Day"/>
    <s v="✓ Match"/>
    <x v="0"/>
  </r>
  <r>
    <s v="EMP013"/>
    <s v="Ramesh"/>
    <x v="0"/>
    <x v="19"/>
    <x v="0"/>
    <s v="09:30"/>
    <s v="20:20"/>
    <n v="10.833333333333334"/>
    <s v="Late"/>
    <s v="Full Day"/>
    <s v="Full Day"/>
    <s v="✓ Match"/>
    <x v="0"/>
  </r>
  <r>
    <s v="EMP006"/>
    <s v="Anjali"/>
    <x v="1"/>
    <x v="20"/>
    <x v="0"/>
    <s v="08:30"/>
    <s v="19:10"/>
    <n v="10.666666666666668"/>
    <s v="On Time"/>
    <s v="Full Day"/>
    <s v="Full Day"/>
    <s v="✓ Match"/>
    <x v="0"/>
  </r>
  <r>
    <s v="EMP029"/>
    <s v="Sanjana Roy"/>
    <x v="1"/>
    <x v="20"/>
    <x v="1"/>
    <s v="No Login"/>
    <s v="No Logout"/>
    <n v="0"/>
    <s v=""/>
    <s v="Absent"/>
    <s v="N/A"/>
    <s v="⚠ Mismatch"/>
    <x v="1"/>
  </r>
  <r>
    <s v="EMP020"/>
    <s v="Lakshmi Devi"/>
    <x v="0"/>
    <x v="20"/>
    <x v="0"/>
    <s v="09:05"/>
    <s v="19:10"/>
    <n v="10.083333333333334"/>
    <s v="Late"/>
    <s v="Full Day"/>
    <s v="Full Day"/>
    <s v="✓ Match"/>
    <x v="0"/>
  </r>
  <r>
    <s v="EMP026"/>
    <s v="Gayathri S"/>
    <x v="1"/>
    <x v="20"/>
    <x v="0"/>
    <s v="08:10"/>
    <s v="17:20"/>
    <n v="9.1666666666666679"/>
    <s v="On Time"/>
    <s v="Full Day"/>
    <s v="Full Day"/>
    <s v="✓ Match"/>
    <x v="0"/>
  </r>
  <r>
    <s v="EMP010"/>
    <s v="Meena"/>
    <x v="3"/>
    <x v="20"/>
    <x v="1"/>
    <s v="No Login"/>
    <s v="No Logout"/>
    <n v="0"/>
    <s v=""/>
    <s v="Absent"/>
    <s v="N/A"/>
    <s v="⚠ Mismatch"/>
    <x v="1"/>
  </r>
  <r>
    <s v="EMP012"/>
    <s v="Pooja Das"/>
    <x v="0"/>
    <x v="20"/>
    <x v="0"/>
    <s v="09:05"/>
    <s v="17:15"/>
    <n v="8.1666666666666661"/>
    <s v="Late"/>
    <s v="Full Day"/>
    <s v="Full Day"/>
    <s v="✓ Match"/>
    <x v="0"/>
  </r>
  <r>
    <s v="EMP021"/>
    <s v="Nitin Sharma"/>
    <x v="0"/>
    <x v="20"/>
    <x v="1"/>
    <s v="No Login"/>
    <s v="No Logout"/>
    <n v="0"/>
    <s v=""/>
    <s v="Absent"/>
    <s v="N/A"/>
    <s v="⚠ Mismatch"/>
    <x v="1"/>
  </r>
  <r>
    <s v="EMP007"/>
    <s v="Karan Patel"/>
    <x v="3"/>
    <x v="20"/>
    <x v="0"/>
    <s v="08:20"/>
    <s v="19:45"/>
    <n v="11.416666666666664"/>
    <s v="On Time"/>
    <s v="Full Day"/>
    <s v="Full Day"/>
    <s v="✓ Match"/>
    <x v="0"/>
  </r>
  <r>
    <s v="EMP014"/>
    <s v="Neha"/>
    <x v="0"/>
    <x v="20"/>
    <x v="0"/>
    <s v="09:00"/>
    <s v="20:20"/>
    <n v="11.333333333333332"/>
    <s v="On Time"/>
    <s v="Full Day"/>
    <s v="Full Day"/>
    <s v="✓ Match"/>
    <x v="0"/>
  </r>
  <r>
    <s v="EMP008"/>
    <s v="Divya"/>
    <x v="1"/>
    <x v="20"/>
    <x v="2"/>
    <s v="09:15"/>
    <s v="20:20"/>
    <n v="11.083333333333332"/>
    <s v="Late"/>
    <s v="Full Day"/>
    <s v="Full Day"/>
    <s v="✓ Match"/>
    <x v="0"/>
  </r>
  <r>
    <s v="EMP025"/>
    <s v="Varun Sethi"/>
    <x v="2"/>
    <x v="20"/>
    <x v="1"/>
    <s v="No Login"/>
    <s v="No Logout"/>
    <n v="0"/>
    <s v=""/>
    <s v="Absent"/>
    <s v="N/A"/>
    <s v="⚠ Mismatch"/>
    <x v="1"/>
  </r>
  <r>
    <s v="EMP013"/>
    <s v="Ramesh"/>
    <x v="0"/>
    <x v="20"/>
    <x v="1"/>
    <s v="No Login"/>
    <s v="No Logout"/>
    <n v="0"/>
    <s v=""/>
    <s v="Absent"/>
    <s v="N/A"/>
    <s v="⚠ Mismatch"/>
    <x v="1"/>
  </r>
  <r>
    <s v="EMP003"/>
    <s v="Rahul Verma"/>
    <x v="2"/>
    <x v="20"/>
    <x v="0"/>
    <s v="10:45"/>
    <s v="17:10"/>
    <n v="6.4166666666666661"/>
    <s v="Late"/>
    <s v="Half Day"/>
    <s v="Half Day"/>
    <s v="✓ Match"/>
    <x v="0"/>
  </r>
  <r>
    <s v="EMP011"/>
    <s v="Ajay Rao"/>
    <x v="3"/>
    <x v="20"/>
    <x v="0"/>
    <s v="09:05"/>
    <s v="18:20"/>
    <n v="9.2499999999999982"/>
    <s v="Late"/>
    <s v="Full Day"/>
    <s v="Full Day"/>
    <s v="✓ Match"/>
    <x v="0"/>
  </r>
  <r>
    <s v="EMP019"/>
    <s v="Rohit Malhotra"/>
    <x v="4"/>
    <x v="20"/>
    <x v="1"/>
    <s v="No Login"/>
    <s v="No Logout"/>
    <n v="0"/>
    <s v=""/>
    <s v="Absent"/>
    <s v="N/A"/>
    <s v="⚠ Mismatch"/>
    <x v="1"/>
  </r>
  <r>
    <s v="EMP005"/>
    <s v="Vijay"/>
    <x v="1"/>
    <x v="20"/>
    <x v="0"/>
    <s v="09:30"/>
    <s v="18:10"/>
    <n v="8.6666666666666696"/>
    <s v="Late"/>
    <s v="Full Day"/>
    <s v="Full Day"/>
    <s v="✓ Match"/>
    <x v="0"/>
  </r>
  <r>
    <s v="EMP017"/>
    <s v="Deepak"/>
    <x v="2"/>
    <x v="20"/>
    <x v="0"/>
    <s v="10:05"/>
    <s v="17:15"/>
    <n v="7.1666666666666661"/>
    <s v="Late"/>
    <s v="Half Day"/>
    <s v="Half Day"/>
    <s v="✓ Match"/>
    <x v="0"/>
  </r>
  <r>
    <s v="EMP018"/>
    <s v="Aisha Khan"/>
    <x v="0"/>
    <x v="20"/>
    <x v="0"/>
    <s v="09:00"/>
    <s v="16:10"/>
    <n v="7.1666666666666679"/>
    <s v="On Time"/>
    <s v="Half Day"/>
    <s v="Half Day"/>
    <s v="✓ Match"/>
    <x v="0"/>
  </r>
  <r>
    <s v="EMP028"/>
    <s v="Naveen Raj"/>
    <x v="1"/>
    <x v="20"/>
    <x v="0"/>
    <s v="09:00"/>
    <s v="20:20"/>
    <n v="11.333333333333332"/>
    <s v="On Time"/>
    <s v="Full Day"/>
    <s v="Full Day"/>
    <s v="✓ Match"/>
    <x v="0"/>
  </r>
  <r>
    <s v="EMP030"/>
    <s v="Mohit Agarwal"/>
    <x v="1"/>
    <x v="20"/>
    <x v="0"/>
    <s v="08:10"/>
    <s v="18:00"/>
    <n v="9.8333333333333339"/>
    <s v="On Time"/>
    <s v="Full Day"/>
    <s v="Full Day"/>
    <s v="✓ Match"/>
    <x v="0"/>
  </r>
  <r>
    <s v="EMP024"/>
    <s v="Maheswari"/>
    <x v="3"/>
    <x v="20"/>
    <x v="1"/>
    <s v="No Login"/>
    <s v="No Logout"/>
    <n v="0"/>
    <s v=""/>
    <s v="Absent"/>
    <s v="N/A"/>
    <s v="⚠ Mismatch"/>
    <x v="1"/>
  </r>
  <r>
    <s v="EMP027"/>
    <s v="Ashok Kumar"/>
    <x v="0"/>
    <x v="20"/>
    <x v="0"/>
    <s v="09:10"/>
    <s v="18:15"/>
    <n v="9.0833333333333321"/>
    <s v="Late"/>
    <s v="Full Day"/>
    <s v="Full Day"/>
    <s v="✓ Match"/>
    <x v="0"/>
  </r>
  <r>
    <s v="EMP001"/>
    <s v="Arun Kumar"/>
    <x v="2"/>
    <x v="20"/>
    <x v="1"/>
    <s v="No Login"/>
    <s v="No Logout"/>
    <n v="0"/>
    <s v=""/>
    <s v="Absent"/>
    <s v="N/A"/>
    <s v="⚠ Mismatch"/>
    <x v="1"/>
  </r>
  <r>
    <s v="EMP002"/>
    <s v="Priya Sharma"/>
    <x v="0"/>
    <x v="20"/>
    <x v="0"/>
    <s v="10:15"/>
    <s v="20:10"/>
    <n v="9.9166666666666679"/>
    <s v="Late"/>
    <s v="Full Day"/>
    <s v="Full Day"/>
    <s v="✓ Match"/>
    <x v="0"/>
  </r>
  <r>
    <s v="EMP009"/>
    <s v="Suresh Babu"/>
    <x v="2"/>
    <x v="20"/>
    <x v="0"/>
    <s v="08:30"/>
    <s v="20:20"/>
    <n v="11.833333333333332"/>
    <s v="On Time"/>
    <s v="Full Day"/>
    <s v="Full Day"/>
    <s v="✓ Match"/>
    <x v="0"/>
  </r>
  <r>
    <s v="EMP022"/>
    <s v="Swathi Rao"/>
    <x v="4"/>
    <x v="20"/>
    <x v="0"/>
    <s v="11:00"/>
    <s v="19:10"/>
    <n v="8.1666666666666679"/>
    <s v="Late"/>
    <s v="Full Day"/>
    <s v="Full Day"/>
    <s v="✓ Match"/>
    <x v="0"/>
  </r>
  <r>
    <s v="EMP023"/>
    <s v="Harish Kumar"/>
    <x v="2"/>
    <x v="20"/>
    <x v="2"/>
    <s v="08:45"/>
    <s v="18:10"/>
    <n v="9.4166666666666696"/>
    <s v="On Time"/>
    <s v="Full Day"/>
    <s v="Full Day"/>
    <s v="✓ Match"/>
    <x v="0"/>
  </r>
  <r>
    <s v="EMP015"/>
    <s v="Manoj"/>
    <x v="3"/>
    <x v="20"/>
    <x v="2"/>
    <s v="09:05"/>
    <s v="19:10"/>
    <n v="10.083333333333334"/>
    <s v="Late"/>
    <s v="Full Day"/>
    <s v="Full Day"/>
    <s v="✓ Match"/>
    <x v="0"/>
  </r>
  <r>
    <s v="EMP016"/>
    <s v="Kavya Menon"/>
    <x v="1"/>
    <x v="20"/>
    <x v="0"/>
    <s v="08:00"/>
    <s v="18:15"/>
    <n v="10.25"/>
    <s v="On Time"/>
    <s v="Full Day"/>
    <s v="Full Day"/>
    <s v="✓ Match"/>
    <x v="0"/>
  </r>
  <r>
    <s v="EMP004"/>
    <s v="Sneha Reddy"/>
    <x v="0"/>
    <x v="20"/>
    <x v="0"/>
    <s v="08:45"/>
    <s v="20:30"/>
    <n v="11.75"/>
    <s v="On Time"/>
    <s v="Full Day"/>
    <s v="Full Day"/>
    <s v="✓ Match"/>
    <x v="0"/>
  </r>
  <r>
    <s v="EMP012"/>
    <s v="Pooja Das"/>
    <x v="0"/>
    <x v="21"/>
    <x v="0"/>
    <s v="08:15"/>
    <s v="17:00"/>
    <n v="8.75"/>
    <s v="On Time"/>
    <s v="Full Day"/>
    <s v="Full Day"/>
    <s v="✓ Match"/>
    <x v="0"/>
  </r>
  <r>
    <s v="EMP009"/>
    <s v="Suresh Babu"/>
    <x v="2"/>
    <x v="21"/>
    <x v="0"/>
    <s v="10:00"/>
    <s v="20:00"/>
    <n v="10"/>
    <s v="Late"/>
    <s v="Full Day"/>
    <s v="Full Day"/>
    <s v="✓ Match"/>
    <x v="0"/>
  </r>
  <r>
    <s v="EMP011"/>
    <s v="Ajay Rao"/>
    <x v="3"/>
    <x v="21"/>
    <x v="0"/>
    <s v="10:05"/>
    <s v="17:45"/>
    <n v="7.6666666666666679"/>
    <s v="Late"/>
    <s v="Half Day"/>
    <s v="Half Day"/>
    <s v="✓ Match"/>
    <x v="0"/>
  </r>
  <r>
    <s v="EMP022"/>
    <s v="Swathi Rao"/>
    <x v="4"/>
    <x v="21"/>
    <x v="0"/>
    <s v="09:00"/>
    <s v="20:00"/>
    <n v="11"/>
    <s v="On Time"/>
    <s v="Full Day"/>
    <s v="Full Day"/>
    <s v="✓ Match"/>
    <x v="0"/>
  </r>
  <r>
    <s v="EMP006"/>
    <s v="Anjali"/>
    <x v="1"/>
    <x v="21"/>
    <x v="0"/>
    <s v="10:30"/>
    <s v="20:20"/>
    <n v="9.8333333333333321"/>
    <s v="Late"/>
    <s v="Full Day"/>
    <s v="Full Day"/>
    <s v="✓ Match"/>
    <x v="0"/>
  </r>
  <r>
    <s v="EMP003"/>
    <s v="Rahul Verma"/>
    <x v="2"/>
    <x v="21"/>
    <x v="0"/>
    <s v="08:00"/>
    <s v="14:00"/>
    <n v="6.0000000000000018"/>
    <s v="On Time"/>
    <s v="Half Day"/>
    <s v="Half Day"/>
    <s v="✓ Match"/>
    <x v="0"/>
  </r>
  <r>
    <s v="EMP018"/>
    <s v="Aisha Khan"/>
    <x v="0"/>
    <x v="21"/>
    <x v="0"/>
    <s v="10:10"/>
    <s v="20:00"/>
    <n v="9.8333333333333339"/>
    <s v="Late"/>
    <s v="Full Day"/>
    <s v="Full Day"/>
    <s v="✓ Match"/>
    <x v="0"/>
  </r>
  <r>
    <s v="EMP002"/>
    <s v="Priya Sharma"/>
    <x v="0"/>
    <x v="21"/>
    <x v="0"/>
    <s v="09:30"/>
    <s v="19:15"/>
    <n v="9.7500000000000018"/>
    <s v="Late"/>
    <s v="Full Day"/>
    <s v="Full Day"/>
    <s v="✓ Match"/>
    <x v="0"/>
  </r>
  <r>
    <s v="EMP007"/>
    <s v="Karan Patel"/>
    <x v="3"/>
    <x v="21"/>
    <x v="0"/>
    <s v="10:05"/>
    <s v="18:45"/>
    <n v="8.6666666666666661"/>
    <s v="Late"/>
    <s v="Full Day"/>
    <s v="Full Day"/>
    <s v="✓ Match"/>
    <x v="0"/>
  </r>
  <r>
    <s v="EMP025"/>
    <s v="Varun Sethi"/>
    <x v="2"/>
    <x v="21"/>
    <x v="2"/>
    <s v="11:20"/>
    <s v="18:10"/>
    <n v="6.8333333333333339"/>
    <s v="Late"/>
    <s v="Half Day"/>
    <s v="Half Day"/>
    <s v="✓ Match"/>
    <x v="0"/>
  </r>
  <r>
    <s v="EMP015"/>
    <s v="Manoj"/>
    <x v="3"/>
    <x v="21"/>
    <x v="0"/>
    <s v="10:20"/>
    <s v="19:00"/>
    <n v="8.6666666666666643"/>
    <s v="Late"/>
    <s v="Full Day"/>
    <s v="Full Day"/>
    <s v="✓ Match"/>
    <x v="0"/>
  </r>
  <r>
    <s v="EMP008"/>
    <s v="Divya"/>
    <x v="1"/>
    <x v="21"/>
    <x v="0"/>
    <s v="08:20"/>
    <s v="20:00"/>
    <n v="11.666666666666666"/>
    <s v="On Time"/>
    <s v="Full Day"/>
    <s v="Full Day"/>
    <s v="✓ Match"/>
    <x v="0"/>
  </r>
  <r>
    <s v="EMP017"/>
    <s v="Deepak"/>
    <x v="2"/>
    <x v="21"/>
    <x v="2"/>
    <s v="09:05"/>
    <s v="17:30"/>
    <n v="8.4166666666666643"/>
    <s v="Late"/>
    <s v="Full Day"/>
    <s v="Full Day"/>
    <s v="✓ Match"/>
    <x v="0"/>
  </r>
  <r>
    <s v="EMP004"/>
    <s v="Sneha Reddy"/>
    <x v="0"/>
    <x v="21"/>
    <x v="0"/>
    <s v="09:30"/>
    <s v="18:15"/>
    <n v="8.75"/>
    <s v="Late"/>
    <s v="Full Day"/>
    <s v="Full Day"/>
    <s v="✓ Match"/>
    <x v="0"/>
  </r>
  <r>
    <s v="EMP028"/>
    <s v="Naveen Raj"/>
    <x v="1"/>
    <x v="21"/>
    <x v="0"/>
    <s v="08:45"/>
    <s v="17:00"/>
    <n v="8.2500000000000018"/>
    <s v="On Time"/>
    <s v="Full Day"/>
    <s v="Full Day"/>
    <s v="✓ Match"/>
    <x v="0"/>
  </r>
  <r>
    <s v="EMP027"/>
    <s v="Ashok Kumar"/>
    <x v="0"/>
    <x v="21"/>
    <x v="0"/>
    <s v="08:10"/>
    <s v="19:30"/>
    <n v="11.333333333333334"/>
    <s v="On Time"/>
    <s v="Full Day"/>
    <s v="Full Day"/>
    <s v="✓ Match"/>
    <x v="0"/>
  </r>
  <r>
    <s v="EMP021"/>
    <s v="Nitin Sharma"/>
    <x v="0"/>
    <x v="21"/>
    <x v="2"/>
    <s v="09:00"/>
    <s v="16:20"/>
    <n v="7.3333333333333313"/>
    <s v="On Time"/>
    <s v="Half Day"/>
    <s v="Half Day"/>
    <s v="✓ Match"/>
    <x v="0"/>
  </r>
  <r>
    <s v="EMP023"/>
    <s v="Harish Kumar"/>
    <x v="2"/>
    <x v="21"/>
    <x v="1"/>
    <s v="No Login"/>
    <s v="No Logout"/>
    <n v="0"/>
    <s v=""/>
    <s v="Absent"/>
    <s v="N/A"/>
    <s v="⚠ Mismatch"/>
    <x v="1"/>
  </r>
  <r>
    <s v="EMP010"/>
    <s v="Meena"/>
    <x v="3"/>
    <x v="21"/>
    <x v="1"/>
    <s v="No Login"/>
    <s v="No Logout"/>
    <n v="0"/>
    <s v=""/>
    <s v="Absent"/>
    <s v="N/A"/>
    <s v="⚠ Mismatch"/>
    <x v="1"/>
  </r>
  <r>
    <s v="EMP019"/>
    <s v="Rohit Malhotra"/>
    <x v="4"/>
    <x v="21"/>
    <x v="0"/>
    <s v="09:20"/>
    <s v="17:45"/>
    <n v="8.4166666666666679"/>
    <s v="Late"/>
    <s v="Full Day"/>
    <s v="Full Day"/>
    <s v="✓ Match"/>
    <x v="0"/>
  </r>
  <r>
    <s v="EMP030"/>
    <s v="Mohit Agarwal"/>
    <x v="1"/>
    <x v="21"/>
    <x v="2"/>
    <s v="08:20"/>
    <s v="16:30"/>
    <n v="8.1666666666666661"/>
    <s v="On Time"/>
    <s v="Full Day"/>
    <s v="Full Day"/>
    <s v="✓ Match"/>
    <x v="0"/>
  </r>
  <r>
    <s v="EMP016"/>
    <s v="Kavya Menon"/>
    <x v="1"/>
    <x v="21"/>
    <x v="0"/>
    <s v="09:15"/>
    <s v="17:00"/>
    <n v="7.75"/>
    <s v="Late"/>
    <s v="Half Day"/>
    <s v="Half Day"/>
    <s v="✓ Match"/>
    <x v="0"/>
  </r>
  <r>
    <s v="EMP005"/>
    <s v="Vijay"/>
    <x v="1"/>
    <x v="21"/>
    <x v="1"/>
    <s v="No Login"/>
    <s v="No Logout"/>
    <n v="0"/>
    <s v=""/>
    <s v="Absent"/>
    <s v="N/A"/>
    <s v="⚠ Mismatch"/>
    <x v="1"/>
  </r>
  <r>
    <s v="EMP013"/>
    <s v="Ramesh"/>
    <x v="0"/>
    <x v="21"/>
    <x v="0"/>
    <s v="09:20"/>
    <s v="19:45"/>
    <n v="10.416666666666666"/>
    <s v="Late"/>
    <s v="Full Day"/>
    <s v="Full Day"/>
    <s v="✓ Match"/>
    <x v="0"/>
  </r>
  <r>
    <s v="EMP001"/>
    <s v="Arun Kumar"/>
    <x v="2"/>
    <x v="21"/>
    <x v="0"/>
    <s v="08:05"/>
    <s v="15:15"/>
    <n v="7.1666666666666652"/>
    <s v="On Time"/>
    <s v="Half Day"/>
    <s v="Half Day"/>
    <s v="✓ Match"/>
    <x v="0"/>
  </r>
  <r>
    <s v="EMP029"/>
    <s v="Sanjana Roy"/>
    <x v="1"/>
    <x v="21"/>
    <x v="2"/>
    <s v="09:45"/>
    <s v="20:20"/>
    <n v="10.583333333333332"/>
    <s v="Late"/>
    <s v="Full Day"/>
    <s v="Full Day"/>
    <s v="✓ Match"/>
    <x v="0"/>
  </r>
  <r>
    <s v="EMP020"/>
    <s v="Lakshmi Devi"/>
    <x v="0"/>
    <x v="21"/>
    <x v="0"/>
    <s v="09:45"/>
    <s v="16:45"/>
    <n v="6.9999999999999991"/>
    <s v="Late"/>
    <s v="Half Day"/>
    <s v="Half Day"/>
    <s v="✓ Match"/>
    <x v="0"/>
  </r>
  <r>
    <s v="EMP026"/>
    <s v="Gayathri S"/>
    <x v="1"/>
    <x v="21"/>
    <x v="0"/>
    <s v="10:20"/>
    <s v="20:15"/>
    <n v="9.9166666666666661"/>
    <s v="Late"/>
    <s v="Full Day"/>
    <s v="Full Day"/>
    <s v="✓ Match"/>
    <x v="0"/>
  </r>
  <r>
    <s v="EMP024"/>
    <s v="Maheswari"/>
    <x v="3"/>
    <x v="21"/>
    <x v="0"/>
    <s v="10:30"/>
    <s v="19:30"/>
    <n v="9"/>
    <s v="Late"/>
    <s v="Full Day"/>
    <s v="Full Day"/>
    <s v="✓ Match"/>
    <x v="0"/>
  </r>
  <r>
    <s v="EMP014"/>
    <s v="Neha"/>
    <x v="0"/>
    <x v="21"/>
    <x v="0"/>
    <s v="08:20"/>
    <s v="18:00"/>
    <n v="9.6666666666666661"/>
    <s v="On Time"/>
    <s v="Full Day"/>
    <s v="Full Day"/>
    <s v="✓ Match"/>
    <x v="0"/>
  </r>
  <r>
    <s v="EMP008"/>
    <s v="Divya"/>
    <x v="1"/>
    <x v="22"/>
    <x v="0"/>
    <s v="10:15"/>
    <s v="18:45"/>
    <n v="8.5"/>
    <s v="Late"/>
    <s v="Full Day"/>
    <s v="Full Day"/>
    <s v="✓ Match"/>
    <x v="0"/>
  </r>
  <r>
    <s v="EMP023"/>
    <s v="Harish Kumar"/>
    <x v="2"/>
    <x v="22"/>
    <x v="0"/>
    <s v="08:05"/>
    <s v="18:15"/>
    <n v="10.166666666666664"/>
    <s v="On Time"/>
    <s v="Full Day"/>
    <s v="Full Day"/>
    <s v="✓ Match"/>
    <x v="0"/>
  </r>
  <r>
    <s v="EMP013"/>
    <s v="Ramesh"/>
    <x v="0"/>
    <x v="22"/>
    <x v="1"/>
    <s v="No Login"/>
    <s v="No Logout"/>
    <n v="0"/>
    <s v=""/>
    <s v="Absent"/>
    <s v="N/A"/>
    <s v="⚠ Mismatch"/>
    <x v="1"/>
  </r>
  <r>
    <s v="EMP011"/>
    <s v="Ajay Rao"/>
    <x v="3"/>
    <x v="22"/>
    <x v="1"/>
    <s v="No Login"/>
    <s v="No Logout"/>
    <n v="0"/>
    <s v=""/>
    <s v="Absent"/>
    <s v="N/A"/>
    <s v="⚠ Mismatch"/>
    <x v="1"/>
  </r>
  <r>
    <s v="EMP007"/>
    <s v="Karan Patel"/>
    <x v="3"/>
    <x v="22"/>
    <x v="0"/>
    <s v="08:15"/>
    <s v="18:10"/>
    <n v="9.9166666666666679"/>
    <s v="On Time"/>
    <s v="Full Day"/>
    <s v="Full Day"/>
    <s v="✓ Match"/>
    <x v="0"/>
  </r>
  <r>
    <s v="EMP016"/>
    <s v="Kavya Menon"/>
    <x v="1"/>
    <x v="22"/>
    <x v="0"/>
    <s v="09:20"/>
    <s v="19:00"/>
    <n v="9.6666666666666661"/>
    <s v="Late"/>
    <s v="Full Day"/>
    <s v="Full Day"/>
    <s v="✓ Match"/>
    <x v="0"/>
  </r>
  <r>
    <s v="EMP027"/>
    <s v="Ashok Kumar"/>
    <x v="0"/>
    <x v="22"/>
    <x v="0"/>
    <s v="09:45"/>
    <s v="18:20"/>
    <n v="8.5833333333333321"/>
    <s v="Late"/>
    <s v="Full Day"/>
    <s v="Full Day"/>
    <s v="✓ Match"/>
    <x v="0"/>
  </r>
  <r>
    <s v="EMP021"/>
    <s v="Nitin Sharma"/>
    <x v="0"/>
    <x v="22"/>
    <x v="2"/>
    <s v="10:05"/>
    <s v="20:30"/>
    <n v="10.416666666666666"/>
    <s v="Late"/>
    <s v="Full Day"/>
    <s v="Full Day"/>
    <s v="✓ Match"/>
    <x v="0"/>
  </r>
  <r>
    <s v="EMP029"/>
    <s v="Sanjana Roy"/>
    <x v="1"/>
    <x v="22"/>
    <x v="0"/>
    <s v="08:30"/>
    <s v="16:20"/>
    <n v="7.8333333333333304"/>
    <s v="On Time"/>
    <s v="Half Day"/>
    <s v="Half Day"/>
    <s v="✓ Match"/>
    <x v="0"/>
  </r>
  <r>
    <s v="EMP005"/>
    <s v="Vijay"/>
    <x v="1"/>
    <x v="22"/>
    <x v="0"/>
    <s v="08:05"/>
    <s v="15:15"/>
    <n v="7.1666666666666652"/>
    <s v="On Time"/>
    <s v="Half Day"/>
    <s v="Half Day"/>
    <s v="✓ Match"/>
    <x v="0"/>
  </r>
  <r>
    <s v="EMP009"/>
    <s v="Suresh Babu"/>
    <x v="2"/>
    <x v="22"/>
    <x v="0"/>
    <s v="09:45"/>
    <s v="20:15"/>
    <n v="10.5"/>
    <s v="Late"/>
    <s v="Full Day"/>
    <s v="Full Day"/>
    <s v="✓ Match"/>
    <x v="0"/>
  </r>
  <r>
    <s v="EMP022"/>
    <s v="Swathi Rao"/>
    <x v="4"/>
    <x v="22"/>
    <x v="0"/>
    <s v="09:05"/>
    <s v="18:15"/>
    <n v="9.1666666666666643"/>
    <s v="Late"/>
    <s v="Full Day"/>
    <s v="Full Day"/>
    <s v="✓ Match"/>
    <x v="0"/>
  </r>
  <r>
    <s v="EMP003"/>
    <s v="Rahul Verma"/>
    <x v="2"/>
    <x v="22"/>
    <x v="0"/>
    <s v="11:30"/>
    <s v="18:30"/>
    <n v="7"/>
    <s v="Late"/>
    <s v="Half Day"/>
    <s v="Half Day"/>
    <s v="✓ Match"/>
    <x v="0"/>
  </r>
  <r>
    <s v="EMP012"/>
    <s v="Pooja Das"/>
    <x v="0"/>
    <x v="22"/>
    <x v="0"/>
    <s v="08:30"/>
    <s v="20:10"/>
    <n v="11.666666666666666"/>
    <s v="On Time"/>
    <s v="Full Day"/>
    <s v="Full Day"/>
    <s v="✓ Match"/>
    <x v="0"/>
  </r>
  <r>
    <s v="EMP018"/>
    <s v="Aisha Khan"/>
    <x v="0"/>
    <x v="22"/>
    <x v="1"/>
    <s v="No Login"/>
    <s v="No Logout"/>
    <n v="0"/>
    <s v=""/>
    <s v="Absent"/>
    <s v="N/A"/>
    <s v="⚠ Mismatch"/>
    <x v="1"/>
  </r>
  <r>
    <s v="EMP017"/>
    <s v="Deepak"/>
    <x v="2"/>
    <x v="22"/>
    <x v="0"/>
    <s v="09:00"/>
    <s v="20:30"/>
    <n v="11.5"/>
    <s v="On Time"/>
    <s v="Full Day"/>
    <s v="Full Day"/>
    <s v="✓ Match"/>
    <x v="0"/>
  </r>
  <r>
    <s v="EMP025"/>
    <s v="Varun Sethi"/>
    <x v="2"/>
    <x v="22"/>
    <x v="2"/>
    <s v="10:15"/>
    <s v="20:30"/>
    <n v="10.25"/>
    <s v="Late"/>
    <s v="Full Day"/>
    <s v="Full Day"/>
    <s v="✓ Match"/>
    <x v="0"/>
  </r>
  <r>
    <s v="EMP026"/>
    <s v="Gayathri S"/>
    <x v="1"/>
    <x v="22"/>
    <x v="0"/>
    <s v="08:10"/>
    <s v="15:20"/>
    <n v="7.1666666666666696"/>
    <s v="On Time"/>
    <s v="Half Day"/>
    <s v="Half Day"/>
    <s v="✓ Match"/>
    <x v="0"/>
  </r>
  <r>
    <s v="EMP004"/>
    <s v="Sneha Reddy"/>
    <x v="0"/>
    <x v="22"/>
    <x v="1"/>
    <s v="No Login"/>
    <s v="No Logout"/>
    <n v="0"/>
    <s v=""/>
    <s v="Absent"/>
    <s v="N/A"/>
    <s v="⚠ Mismatch"/>
    <x v="1"/>
  </r>
  <r>
    <s v="EMP030"/>
    <s v="Mohit Agarwal"/>
    <x v="1"/>
    <x v="22"/>
    <x v="0"/>
    <s v="11:10"/>
    <s v="20:45"/>
    <n v="9.5833333333333357"/>
    <s v="Late"/>
    <s v="Full Day"/>
    <s v="Full Day"/>
    <s v="✓ Match"/>
    <x v="0"/>
  </r>
  <r>
    <s v="EMP020"/>
    <s v="Lakshmi Devi"/>
    <x v="0"/>
    <x v="22"/>
    <x v="0"/>
    <s v="09:45"/>
    <s v="16:45"/>
    <n v="6.9999999999999991"/>
    <s v="Late"/>
    <s v="Half Day"/>
    <s v="Half Day"/>
    <s v="✓ Match"/>
    <x v="0"/>
  </r>
  <r>
    <s v="EMP019"/>
    <s v="Rohit Malhotra"/>
    <x v="4"/>
    <x v="22"/>
    <x v="1"/>
    <s v="No Login"/>
    <s v="No Logout"/>
    <n v="0"/>
    <s v=""/>
    <s v="Absent"/>
    <s v="N/A"/>
    <s v="⚠ Mismatch"/>
    <x v="1"/>
  </r>
  <r>
    <s v="EMP028"/>
    <s v="Naveen Raj"/>
    <x v="1"/>
    <x v="22"/>
    <x v="0"/>
    <s v="10:45"/>
    <s v="20:30"/>
    <n v="9.7499999999999982"/>
    <s v="Late"/>
    <s v="Full Day"/>
    <s v="Full Day"/>
    <s v="✓ Match"/>
    <x v="0"/>
  </r>
  <r>
    <s v="EMP010"/>
    <s v="Meena"/>
    <x v="3"/>
    <x v="22"/>
    <x v="1"/>
    <s v="No Login"/>
    <s v="No Logout"/>
    <n v="0"/>
    <s v=""/>
    <s v="Absent"/>
    <s v="N/A"/>
    <s v="⚠ Mismatch"/>
    <x v="1"/>
  </r>
  <r>
    <s v="EMP024"/>
    <s v="Maheswari"/>
    <x v="3"/>
    <x v="22"/>
    <x v="0"/>
    <s v="09:00"/>
    <s v="18:15"/>
    <n v="9.25"/>
    <s v="On Time"/>
    <s v="Full Day"/>
    <s v="Full Day"/>
    <s v="✓ Match"/>
    <x v="0"/>
  </r>
  <r>
    <s v="EMP014"/>
    <s v="Neha"/>
    <x v="0"/>
    <x v="22"/>
    <x v="0"/>
    <s v="08:00"/>
    <s v="17:20"/>
    <n v="9.3333333333333339"/>
    <s v="On Time"/>
    <s v="Full Day"/>
    <s v="Full Day"/>
    <s v="✓ Match"/>
    <x v="0"/>
  </r>
  <r>
    <s v="EMP006"/>
    <s v="Anjali"/>
    <x v="1"/>
    <x v="22"/>
    <x v="0"/>
    <s v="09:20"/>
    <s v="19:15"/>
    <n v="9.9166666666666679"/>
    <s v="Late"/>
    <s v="Full Day"/>
    <s v="Full Day"/>
    <s v="✓ Match"/>
    <x v="0"/>
  </r>
  <r>
    <s v="EMP002"/>
    <s v="Priya Sharma"/>
    <x v="0"/>
    <x v="22"/>
    <x v="0"/>
    <s v="10:10"/>
    <s v="20:45"/>
    <n v="10.583333333333334"/>
    <s v="Late"/>
    <s v="Full Day"/>
    <s v="Full Day"/>
    <s v="✓ Match"/>
    <x v="0"/>
  </r>
  <r>
    <s v="EMP015"/>
    <s v="Manoj"/>
    <x v="3"/>
    <x v="22"/>
    <x v="0"/>
    <s v="08:05"/>
    <s v="15:10"/>
    <n v="7.0833333333333321"/>
    <s v="On Time"/>
    <s v="Half Day"/>
    <s v="Half Day"/>
    <s v="✓ Match"/>
    <x v="0"/>
  </r>
  <r>
    <s v="EMP001"/>
    <s v="Arun Kumar"/>
    <x v="2"/>
    <x v="22"/>
    <x v="1"/>
    <s v="No Login"/>
    <s v="No Logout"/>
    <n v="0"/>
    <s v=""/>
    <s v="Absent"/>
    <s v="N/A"/>
    <s v="⚠ Mismatch"/>
    <x v="1"/>
  </r>
  <r>
    <s v="EMP022"/>
    <s v="Swathi Rao"/>
    <x v="4"/>
    <x v="23"/>
    <x v="0"/>
    <s v="10:00"/>
    <s v="17:45"/>
    <n v="7.75"/>
    <s v="Late"/>
    <s v="Half Day"/>
    <s v="Half Day"/>
    <s v="✓ Match"/>
    <x v="0"/>
  </r>
  <r>
    <s v="EMP004"/>
    <s v="Sneha Reddy"/>
    <x v="0"/>
    <x v="23"/>
    <x v="0"/>
    <s v="11:05"/>
    <s v="20:30"/>
    <n v="9.4166666666666643"/>
    <s v="Late"/>
    <s v="Full Day"/>
    <s v="Full Day"/>
    <s v="✓ Match"/>
    <x v="0"/>
  </r>
  <r>
    <s v="EMP002"/>
    <s v="Priya Sharma"/>
    <x v="0"/>
    <x v="23"/>
    <x v="0"/>
    <s v="09:05"/>
    <s v="18:20"/>
    <n v="9.2499999999999982"/>
    <s v="Late"/>
    <s v="Full Day"/>
    <s v="Full Day"/>
    <s v="✓ Match"/>
    <x v="0"/>
  </r>
  <r>
    <s v="EMP024"/>
    <s v="Maheswari"/>
    <x v="3"/>
    <x v="23"/>
    <x v="0"/>
    <s v="09:15"/>
    <s v="20:45"/>
    <n v="11.5"/>
    <s v="Late"/>
    <s v="Full Day"/>
    <s v="Full Day"/>
    <s v="✓ Match"/>
    <x v="0"/>
  </r>
  <r>
    <s v="EMP016"/>
    <s v="Kavya Menon"/>
    <x v="1"/>
    <x v="23"/>
    <x v="0"/>
    <s v="09:00"/>
    <s v="20:45"/>
    <n v="11.75"/>
    <s v="On Time"/>
    <s v="Full Day"/>
    <s v="Full Day"/>
    <s v="✓ Match"/>
    <x v="0"/>
  </r>
  <r>
    <s v="EMP009"/>
    <s v="Suresh Babu"/>
    <x v="2"/>
    <x v="23"/>
    <x v="0"/>
    <s v="09:05"/>
    <s v="18:45"/>
    <n v="9.6666666666666661"/>
    <s v="Late"/>
    <s v="Full Day"/>
    <s v="Full Day"/>
    <s v="✓ Match"/>
    <x v="0"/>
  </r>
  <r>
    <s v="EMP026"/>
    <s v="Gayathri S"/>
    <x v="1"/>
    <x v="23"/>
    <x v="0"/>
    <s v="08:00"/>
    <s v="20:10"/>
    <n v="12.166666666666666"/>
    <s v="On Time"/>
    <s v="Full Day"/>
    <s v="Full Day"/>
    <s v="✓ Match"/>
    <x v="0"/>
  </r>
  <r>
    <s v="EMP006"/>
    <s v="Anjali"/>
    <x v="1"/>
    <x v="23"/>
    <x v="1"/>
    <s v="No Login"/>
    <s v="No Logout"/>
    <n v="0"/>
    <s v=""/>
    <s v="Absent"/>
    <s v="N/A"/>
    <s v="⚠ Mismatch"/>
    <x v="1"/>
  </r>
  <r>
    <s v="EMP027"/>
    <s v="Ashok Kumar"/>
    <x v="0"/>
    <x v="23"/>
    <x v="2"/>
    <s v="10:20"/>
    <s v="18:30"/>
    <n v="8.1666666666666679"/>
    <s v="Late"/>
    <s v="Full Day"/>
    <s v="Full Day"/>
    <s v="✓ Match"/>
    <x v="0"/>
  </r>
  <r>
    <s v="EMP011"/>
    <s v="Ajay Rao"/>
    <x v="3"/>
    <x v="23"/>
    <x v="2"/>
    <s v="09:15"/>
    <s v="20:30"/>
    <n v="11.249999999999998"/>
    <s v="Late"/>
    <s v="Full Day"/>
    <s v="Full Day"/>
    <s v="✓ Match"/>
    <x v="0"/>
  </r>
  <r>
    <s v="EMP020"/>
    <s v="Lakshmi Devi"/>
    <x v="0"/>
    <x v="23"/>
    <x v="0"/>
    <s v="09:30"/>
    <s v="20:45"/>
    <n v="11.250000000000002"/>
    <s v="Late"/>
    <s v="Full Day"/>
    <s v="Full Day"/>
    <s v="✓ Match"/>
    <x v="0"/>
  </r>
  <r>
    <s v="EMP003"/>
    <s v="Rahul Verma"/>
    <x v="2"/>
    <x v="23"/>
    <x v="0"/>
    <s v="10:10"/>
    <s v="17:30"/>
    <n v="7.3333333333333321"/>
    <s v="Late"/>
    <s v="Half Day"/>
    <s v="Half Day"/>
    <s v="✓ Match"/>
    <x v="0"/>
  </r>
  <r>
    <s v="EMP012"/>
    <s v="Pooja Das"/>
    <x v="0"/>
    <x v="23"/>
    <x v="2"/>
    <s v="10:15"/>
    <s v="20:00"/>
    <n v="9.7500000000000018"/>
    <s v="Late"/>
    <s v="Full Day"/>
    <s v="Full Day"/>
    <s v="✓ Match"/>
    <x v="0"/>
  </r>
  <r>
    <s v="EMP007"/>
    <s v="Karan Patel"/>
    <x v="3"/>
    <x v="23"/>
    <x v="1"/>
    <s v="No Login"/>
    <s v="No Logout"/>
    <n v="0"/>
    <s v=""/>
    <s v="Absent"/>
    <s v="N/A"/>
    <s v="⚠ Mismatch"/>
    <x v="1"/>
  </r>
  <r>
    <s v="EMP005"/>
    <s v="Vijay"/>
    <x v="1"/>
    <x v="23"/>
    <x v="0"/>
    <s v="10:30"/>
    <s v="18:20"/>
    <n v="7.8333333333333321"/>
    <s v="Late"/>
    <s v="Half Day"/>
    <s v="Half Day"/>
    <s v="✓ Match"/>
    <x v="0"/>
  </r>
  <r>
    <s v="EMP030"/>
    <s v="Mohit Agarwal"/>
    <x v="1"/>
    <x v="23"/>
    <x v="0"/>
    <s v="09:05"/>
    <s v="19:30"/>
    <n v="10.416666666666666"/>
    <s v="Late"/>
    <s v="Full Day"/>
    <s v="Full Day"/>
    <s v="✓ Match"/>
    <x v="0"/>
  </r>
  <r>
    <s v="EMP028"/>
    <s v="Naveen Raj"/>
    <x v="1"/>
    <x v="23"/>
    <x v="0"/>
    <s v="09:15"/>
    <s v="17:20"/>
    <n v="8.0833333333333321"/>
    <s v="Late"/>
    <s v="Full Day"/>
    <s v="Full Day"/>
    <s v="✓ Match"/>
    <x v="0"/>
  </r>
  <r>
    <s v="EMP021"/>
    <s v="Nitin Sharma"/>
    <x v="0"/>
    <x v="23"/>
    <x v="0"/>
    <s v="08:00"/>
    <s v="18:00"/>
    <n v="10"/>
    <s v="On Time"/>
    <s v="Full Day"/>
    <s v="Full Day"/>
    <s v="✓ Match"/>
    <x v="0"/>
  </r>
  <r>
    <s v="EMP023"/>
    <s v="Harish Kumar"/>
    <x v="2"/>
    <x v="23"/>
    <x v="0"/>
    <s v="08:15"/>
    <s v="16:30"/>
    <n v="8.25"/>
    <s v="On Time"/>
    <s v="Full Day"/>
    <s v="Full Day"/>
    <s v="✓ Match"/>
    <x v="0"/>
  </r>
  <r>
    <s v="EMP015"/>
    <s v="Manoj"/>
    <x v="3"/>
    <x v="23"/>
    <x v="2"/>
    <s v="08:05"/>
    <s v="20:45"/>
    <n v="12.666666666666668"/>
    <s v="On Time"/>
    <s v="Full Day"/>
    <s v="Full Day"/>
    <s v="✓ Match"/>
    <x v="0"/>
  </r>
  <r>
    <s v="EMP013"/>
    <s v="Ramesh"/>
    <x v="0"/>
    <x v="23"/>
    <x v="1"/>
    <s v="No Login"/>
    <s v="No Logout"/>
    <n v="0"/>
    <s v=""/>
    <s v="Absent"/>
    <s v="N/A"/>
    <s v="⚠ Mismatch"/>
    <x v="1"/>
  </r>
  <r>
    <s v="EMP001"/>
    <s v="Arun Kumar"/>
    <x v="2"/>
    <x v="23"/>
    <x v="1"/>
    <s v="No Login"/>
    <s v="No Logout"/>
    <n v="0"/>
    <s v=""/>
    <s v="Absent"/>
    <s v="N/A"/>
    <s v="⚠ Mismatch"/>
    <x v="1"/>
  </r>
  <r>
    <s v="EMP017"/>
    <s v="Deepak"/>
    <x v="2"/>
    <x v="23"/>
    <x v="0"/>
    <s v="09:45"/>
    <s v="18:20"/>
    <n v="8.5833333333333321"/>
    <s v="Late"/>
    <s v="Full Day"/>
    <s v="Full Day"/>
    <s v="✓ Match"/>
    <x v="0"/>
  </r>
  <r>
    <s v="EMP019"/>
    <s v="Rohit Malhotra"/>
    <x v="4"/>
    <x v="23"/>
    <x v="0"/>
    <s v="09:20"/>
    <s v="17:20"/>
    <n v="8"/>
    <s v="Late"/>
    <s v="Full Day"/>
    <s v="Full Day"/>
    <s v="✓ Match"/>
    <x v="0"/>
  </r>
  <r>
    <s v="EMP008"/>
    <s v="Divya"/>
    <x v="1"/>
    <x v="23"/>
    <x v="0"/>
    <s v="10:45"/>
    <s v="20:45"/>
    <n v="10"/>
    <s v="Late"/>
    <s v="Full Day"/>
    <s v="Full Day"/>
    <s v="✓ Match"/>
    <x v="0"/>
  </r>
  <r>
    <s v="EMP025"/>
    <s v="Varun Sethi"/>
    <x v="2"/>
    <x v="23"/>
    <x v="0"/>
    <s v="08:00"/>
    <s v="20:00"/>
    <n v="12"/>
    <s v="On Time"/>
    <s v="Full Day"/>
    <s v="Full Day"/>
    <s v="✓ Match"/>
    <x v="0"/>
  </r>
  <r>
    <s v="EMP029"/>
    <s v="Sanjana Roy"/>
    <x v="1"/>
    <x v="23"/>
    <x v="0"/>
    <s v="08:30"/>
    <s v="18:20"/>
    <n v="9.8333333333333321"/>
    <s v="On Time"/>
    <s v="Full Day"/>
    <s v="Full Day"/>
    <s v="✓ Match"/>
    <x v="0"/>
  </r>
  <r>
    <s v="EMP010"/>
    <s v="Meena"/>
    <x v="3"/>
    <x v="23"/>
    <x v="0"/>
    <s v="09:15"/>
    <s v="16:20"/>
    <n v="7.0833333333333304"/>
    <s v="Late"/>
    <s v="Half Day"/>
    <s v="Half Day"/>
    <s v="✓ Match"/>
    <x v="0"/>
  </r>
  <r>
    <s v="EMP018"/>
    <s v="Aisha Khan"/>
    <x v="0"/>
    <x v="23"/>
    <x v="0"/>
    <s v="08:05"/>
    <s v="19:45"/>
    <n v="11.666666666666664"/>
    <s v="On Time"/>
    <s v="Full Day"/>
    <s v="Full Day"/>
    <s v="✓ Match"/>
    <x v="0"/>
  </r>
  <r>
    <s v="EMP014"/>
    <s v="Neha"/>
    <x v="0"/>
    <x v="23"/>
    <x v="0"/>
    <s v="10:20"/>
    <s v="20:45"/>
    <n v="10.416666666666668"/>
    <s v="Late"/>
    <s v="Full Day"/>
    <s v="Full Day"/>
    <s v="✓ Match"/>
    <x v="0"/>
  </r>
  <r>
    <s v="EMP006"/>
    <s v="Anjali"/>
    <x v="1"/>
    <x v="24"/>
    <x v="1"/>
    <s v="No Login"/>
    <s v="No Logout"/>
    <n v="0"/>
    <s v=""/>
    <s v="Absent"/>
    <s v="N/A"/>
    <s v="⚠ Mismatch"/>
    <x v="1"/>
  </r>
  <r>
    <s v="EMP021"/>
    <s v="Nitin Sharma"/>
    <x v="0"/>
    <x v="24"/>
    <x v="0"/>
    <s v="10:15"/>
    <s v="20:30"/>
    <n v="10.25"/>
    <s v="Late"/>
    <s v="Full Day"/>
    <s v="Full Day"/>
    <s v="✓ Match"/>
    <x v="0"/>
  </r>
  <r>
    <s v="EMP026"/>
    <s v="Gayathri S"/>
    <x v="1"/>
    <x v="24"/>
    <x v="0"/>
    <s v="11:15"/>
    <s v="20:15"/>
    <n v="9"/>
    <s v="Late"/>
    <s v="Full Day"/>
    <s v="Full Day"/>
    <s v="✓ Match"/>
    <x v="0"/>
  </r>
  <r>
    <s v="EMP025"/>
    <s v="Varun Sethi"/>
    <x v="2"/>
    <x v="24"/>
    <x v="1"/>
    <s v="No Login"/>
    <s v="No Logout"/>
    <n v="0"/>
    <s v=""/>
    <s v="Absent"/>
    <s v="N/A"/>
    <s v="⚠ Mismatch"/>
    <x v="1"/>
  </r>
  <r>
    <s v="EMP018"/>
    <s v="Aisha Khan"/>
    <x v="0"/>
    <x v="24"/>
    <x v="0"/>
    <s v="09:15"/>
    <s v="20:20"/>
    <n v="11.083333333333332"/>
    <s v="Late"/>
    <s v="Full Day"/>
    <s v="Full Day"/>
    <s v="✓ Match"/>
    <x v="0"/>
  </r>
  <r>
    <s v="EMP012"/>
    <s v="Pooja Das"/>
    <x v="0"/>
    <x v="24"/>
    <x v="0"/>
    <s v="09:15"/>
    <s v="17:00"/>
    <n v="7.75"/>
    <s v="Late"/>
    <s v="Half Day"/>
    <s v="Half Day"/>
    <s v="✓ Match"/>
    <x v="0"/>
  </r>
  <r>
    <s v="EMP003"/>
    <s v="Rahul Verma"/>
    <x v="2"/>
    <x v="24"/>
    <x v="1"/>
    <s v="No Login"/>
    <s v="No Logout"/>
    <n v="0"/>
    <s v=""/>
    <s v="Absent"/>
    <s v="N/A"/>
    <s v="⚠ Mismatch"/>
    <x v="1"/>
  </r>
  <r>
    <s v="EMP015"/>
    <s v="Manoj"/>
    <x v="3"/>
    <x v="24"/>
    <x v="1"/>
    <s v="No Login"/>
    <s v="No Logout"/>
    <n v="0"/>
    <s v=""/>
    <s v="Absent"/>
    <s v="N/A"/>
    <s v="⚠ Mismatch"/>
    <x v="1"/>
  </r>
  <r>
    <s v="EMP023"/>
    <s v="Harish Kumar"/>
    <x v="2"/>
    <x v="24"/>
    <x v="0"/>
    <s v="10:45"/>
    <s v="20:20"/>
    <n v="9.5833333333333321"/>
    <s v="Late"/>
    <s v="Full Day"/>
    <s v="Full Day"/>
    <s v="✓ Match"/>
    <x v="0"/>
  </r>
  <r>
    <s v="EMP010"/>
    <s v="Meena"/>
    <x v="3"/>
    <x v="24"/>
    <x v="0"/>
    <s v="09:10"/>
    <s v="16:10"/>
    <n v="7.0000000000000018"/>
    <s v="Late"/>
    <s v="Half Day"/>
    <s v="Half Day"/>
    <s v="✓ Match"/>
    <x v="0"/>
  </r>
  <r>
    <s v="EMP008"/>
    <s v="Divya"/>
    <x v="1"/>
    <x v="24"/>
    <x v="0"/>
    <s v="08:10"/>
    <s v="18:30"/>
    <n v="10.333333333333336"/>
    <s v="On Time"/>
    <s v="Full Day"/>
    <s v="Full Day"/>
    <s v="✓ Match"/>
    <x v="0"/>
  </r>
  <r>
    <s v="EMP005"/>
    <s v="Vijay"/>
    <x v="1"/>
    <x v="24"/>
    <x v="0"/>
    <s v="08:00"/>
    <s v="17:45"/>
    <n v="9.7500000000000018"/>
    <s v="On Time"/>
    <s v="Full Day"/>
    <s v="Full Day"/>
    <s v="✓ Match"/>
    <x v="0"/>
  </r>
  <r>
    <s v="EMP024"/>
    <s v="Maheswari"/>
    <x v="3"/>
    <x v="24"/>
    <x v="0"/>
    <s v="11:00"/>
    <s v="20:45"/>
    <n v="9.7500000000000018"/>
    <s v="Late"/>
    <s v="Full Day"/>
    <s v="Full Day"/>
    <s v="✓ Match"/>
    <x v="0"/>
  </r>
  <r>
    <s v="EMP013"/>
    <s v="Ramesh"/>
    <x v="0"/>
    <x v="24"/>
    <x v="0"/>
    <s v="09:30"/>
    <s v="20:10"/>
    <n v="10.666666666666668"/>
    <s v="Late"/>
    <s v="Full Day"/>
    <s v="Full Day"/>
    <s v="✓ Match"/>
    <x v="0"/>
  </r>
  <r>
    <s v="EMP016"/>
    <s v="Kavya Menon"/>
    <x v="1"/>
    <x v="24"/>
    <x v="0"/>
    <s v="10:00"/>
    <s v="20:10"/>
    <n v="10.166666666666666"/>
    <s v="Late"/>
    <s v="Full Day"/>
    <s v="Full Day"/>
    <s v="✓ Match"/>
    <x v="0"/>
  </r>
  <r>
    <s v="EMP029"/>
    <s v="Sanjana Roy"/>
    <x v="1"/>
    <x v="24"/>
    <x v="1"/>
    <s v="No Login"/>
    <s v="No Logout"/>
    <n v="0"/>
    <s v=""/>
    <s v="Absent"/>
    <s v="N/A"/>
    <s v="⚠ Mismatch"/>
    <x v="1"/>
  </r>
  <r>
    <s v="EMP011"/>
    <s v="Ajay Rao"/>
    <x v="3"/>
    <x v="24"/>
    <x v="0"/>
    <s v="08:30"/>
    <s v="16:30"/>
    <n v="8"/>
    <s v="On Time"/>
    <s v="Full Day"/>
    <s v="Full Day"/>
    <s v="✓ Match"/>
    <x v="0"/>
  </r>
  <r>
    <s v="EMP017"/>
    <s v="Deepak"/>
    <x v="2"/>
    <x v="24"/>
    <x v="0"/>
    <s v="09:20"/>
    <s v="20:45"/>
    <n v="11.416666666666668"/>
    <s v="Late"/>
    <s v="Full Day"/>
    <s v="Full Day"/>
    <s v="✓ Match"/>
    <x v="0"/>
  </r>
  <r>
    <s v="EMP030"/>
    <s v="Mohit Agarwal"/>
    <x v="1"/>
    <x v="24"/>
    <x v="0"/>
    <s v="09:30"/>
    <s v="20:45"/>
    <n v="11.250000000000002"/>
    <s v="Late"/>
    <s v="Full Day"/>
    <s v="Full Day"/>
    <s v="✓ Match"/>
    <x v="0"/>
  </r>
  <r>
    <s v="EMP014"/>
    <s v="Neha"/>
    <x v="0"/>
    <x v="24"/>
    <x v="0"/>
    <s v="09:05"/>
    <s v="17:15"/>
    <n v="8.1666666666666661"/>
    <s v="Late"/>
    <s v="Full Day"/>
    <s v="Full Day"/>
    <s v="✓ Match"/>
    <x v="0"/>
  </r>
  <r>
    <s v="EMP002"/>
    <s v="Priya Sharma"/>
    <x v="0"/>
    <x v="24"/>
    <x v="1"/>
    <s v="No Login"/>
    <s v="No Logout"/>
    <n v="0"/>
    <s v=""/>
    <s v="Absent"/>
    <s v="N/A"/>
    <s v="⚠ Mismatch"/>
    <x v="1"/>
  </r>
  <r>
    <s v="EMP004"/>
    <s v="Sneha Reddy"/>
    <x v="0"/>
    <x v="24"/>
    <x v="0"/>
    <s v="08:45"/>
    <s v="19:10"/>
    <n v="10.416666666666668"/>
    <s v="On Time"/>
    <s v="Full Day"/>
    <s v="Full Day"/>
    <s v="✓ Match"/>
    <x v="0"/>
  </r>
  <r>
    <s v="EMP001"/>
    <s v="Arun Kumar"/>
    <x v="2"/>
    <x v="24"/>
    <x v="0"/>
    <s v="08:05"/>
    <s v="16:15"/>
    <n v="8.1666666666666679"/>
    <s v="On Time"/>
    <s v="Full Day"/>
    <s v="Full Day"/>
    <s v="✓ Match"/>
    <x v="0"/>
  </r>
  <r>
    <s v="EMP009"/>
    <s v="Suresh Babu"/>
    <x v="2"/>
    <x v="24"/>
    <x v="0"/>
    <s v="09:45"/>
    <s v="18:30"/>
    <n v="8.75"/>
    <s v="Late"/>
    <s v="Full Day"/>
    <s v="Full Day"/>
    <s v="✓ Match"/>
    <x v="0"/>
  </r>
  <r>
    <s v="EMP022"/>
    <s v="Swathi Rao"/>
    <x v="4"/>
    <x v="24"/>
    <x v="0"/>
    <s v="08:45"/>
    <s v="19:15"/>
    <n v="10.500000000000002"/>
    <s v="On Time"/>
    <s v="Full Day"/>
    <s v="Full Day"/>
    <s v="✓ Match"/>
    <x v="0"/>
  </r>
  <r>
    <s v="EMP007"/>
    <s v="Karan Patel"/>
    <x v="3"/>
    <x v="24"/>
    <x v="0"/>
    <s v="09:20"/>
    <s v="19:30"/>
    <n v="10.166666666666666"/>
    <s v="Late"/>
    <s v="Full Day"/>
    <s v="Full Day"/>
    <s v="✓ Match"/>
    <x v="0"/>
  </r>
  <r>
    <s v="EMP027"/>
    <s v="Ashok Kumar"/>
    <x v="0"/>
    <x v="24"/>
    <x v="1"/>
    <s v="No Login"/>
    <s v="No Logout"/>
    <n v="0"/>
    <s v=""/>
    <s v="Absent"/>
    <s v="N/A"/>
    <s v="⚠ Mismatch"/>
    <x v="1"/>
  </r>
  <r>
    <s v="EMP019"/>
    <s v="Rohit Malhotra"/>
    <x v="4"/>
    <x v="24"/>
    <x v="0"/>
    <s v="08:00"/>
    <s v="16:15"/>
    <n v="8.2500000000000018"/>
    <s v="On Time"/>
    <s v="Full Day"/>
    <s v="Full Day"/>
    <s v="✓ Match"/>
    <x v="0"/>
  </r>
  <r>
    <s v="EMP028"/>
    <s v="Naveen Raj"/>
    <x v="1"/>
    <x v="24"/>
    <x v="0"/>
    <s v="10:00"/>
    <s v="18:10"/>
    <n v="8.1666666666666679"/>
    <s v="Late"/>
    <s v="Full Day"/>
    <s v="Full Day"/>
    <s v="✓ Match"/>
    <x v="0"/>
  </r>
  <r>
    <s v="EMP020"/>
    <s v="Lakshmi Devi"/>
    <x v="0"/>
    <x v="24"/>
    <x v="0"/>
    <s v="08:10"/>
    <s v="16:20"/>
    <n v="8.1666666666666661"/>
    <s v="On Time"/>
    <s v="Full Day"/>
    <s v="Full Day"/>
    <s v="✓ Match"/>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B594E0-9D3D-4E1C-8311-F06C0B59B52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A3:B9" firstHeaderRow="1" firstDataRow="1" firstDataCol="1"/>
  <pivotFields count="13">
    <pivotField showAll="0"/>
    <pivotField showAll="0"/>
    <pivotField axis="axisRow" showAll="0" sortType="descending">
      <items count="6">
        <item x="3"/>
        <item x="2"/>
        <item x="1"/>
        <item x="4"/>
        <item x="0"/>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showAll="0"/>
    <pivotField dataField="1" showAll="0"/>
    <pivotField showAll="0"/>
    <pivotField showAll="0"/>
    <pivotField showAll="0"/>
  </pivotFields>
  <rowFields count="1">
    <field x="2"/>
  </rowFields>
  <rowItems count="6">
    <i>
      <x v="4"/>
    </i>
    <i>
      <x v="2"/>
    </i>
    <i>
      <x v="1"/>
    </i>
    <i>
      <x/>
    </i>
    <i>
      <x v="3"/>
    </i>
    <i t="grand">
      <x/>
    </i>
  </rowItems>
  <colItems count="1">
    <i/>
  </colItems>
  <dataFields count="1">
    <dataField name="Attendance Count" fld="9" subtotal="count" baseField="0" baseItem="0"/>
  </dataFields>
  <chartFormats count="2">
    <chartFormat chart="16"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159D44-CC8B-457F-BCBF-9C2EE3440E0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7" firstHeaderRow="1" firstDataRow="1" firstDataCol="1"/>
  <pivotFields count="13">
    <pivotField showAll="0"/>
    <pivotField dataField="1" showAll="0"/>
    <pivotField showAll="0">
      <items count="6">
        <item x="3"/>
        <item x="2"/>
        <item x="1"/>
        <item x="4"/>
        <item x="0"/>
        <item t="default"/>
      </items>
    </pivotField>
    <pivotField showAll="0"/>
    <pivotField axis="axisRow" showAll="0">
      <items count="4">
        <item x="1"/>
        <item x="0"/>
        <item x="2"/>
        <item t="default"/>
      </items>
    </pivotField>
    <pivotField showAll="0"/>
    <pivotField showAll="0"/>
    <pivotField numFmtId="2"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Employee Name" fld="1" subtotal="count" baseField="0" baseItem="0"/>
  </dataField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 chart="3" format="7">
      <pivotArea type="data" outline="0" fieldPosition="0">
        <references count="2">
          <reference field="4294967294" count="1" selected="0">
            <x v="0"/>
          </reference>
          <reference field="4"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8"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4B9394-9E6B-4E82-BAAE-5D4C26C96F6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3:B29" firstHeaderRow="1" firstDataRow="1" firstDataCol="1" rowPageCount="1" colPageCount="1"/>
  <pivotFields count="13">
    <pivotField dataField="1" showAll="0"/>
    <pivotField showAll="0"/>
    <pivotField showAll="0">
      <items count="6">
        <item x="3"/>
        <item x="2"/>
        <item x="1"/>
        <item x="4"/>
        <item x="0"/>
        <item t="default"/>
      </items>
    </pivotField>
    <pivotField axis="axisRow" showAll="0" sortType="ascending">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Page" multipleItemSelectionAllowed="1" showAll="0">
      <items count="4">
        <item x="1"/>
        <item x="0"/>
        <item x="2"/>
        <item t="default"/>
      </items>
    </pivotField>
    <pivotField showAll="0"/>
    <pivotField showAll="0"/>
    <pivotField numFmtId="2" showAll="0"/>
    <pivotField showAll="0"/>
    <pivotField showAll="0"/>
    <pivotField showAll="0"/>
    <pivotField showAll="0"/>
    <pivotField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pageFields count="1">
    <pageField fld="4" hier="-1"/>
  </pageFields>
  <dataFields count="1">
    <dataField name="Count of Emp ID" fld="0" subtotal="count" baseField="0" baseItem="0"/>
  </dataFields>
  <chartFormats count="3">
    <chartFormat chart="8"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6A1508-E23B-446B-81A1-8C63950CA44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6" firstHeaderRow="1" firstDataRow="1" firstDataCol="1"/>
  <pivotFields count="13">
    <pivotField dataField="1" showAll="0"/>
    <pivotField showAll="0"/>
    <pivotField showAll="0">
      <items count="6">
        <item x="3"/>
        <item x="2"/>
        <item x="1"/>
        <item x="4"/>
        <item x="0"/>
        <item t="default"/>
      </items>
    </pivotField>
    <pivotField showAll="0"/>
    <pivotField showAll="0">
      <items count="4">
        <item x="1"/>
        <item x="0"/>
        <item x="2"/>
        <item t="default"/>
      </items>
    </pivotField>
    <pivotField showAll="0"/>
    <pivotField showAll="0"/>
    <pivotField numFmtId="2" showAll="0"/>
    <pivotField showAll="0"/>
    <pivotField showAll="0"/>
    <pivotField showAll="0"/>
    <pivotField showAll="0"/>
    <pivotField axis="axisRow" showAll="0" sortType="descending">
      <items count="3">
        <item x="1"/>
        <item x="0"/>
        <item t="default"/>
      </items>
    </pivotField>
  </pivotFields>
  <rowFields count="1">
    <field x="12"/>
  </rowFields>
  <rowItems count="3">
    <i>
      <x/>
    </i>
    <i>
      <x v="1"/>
    </i>
    <i t="grand">
      <x/>
    </i>
  </rowItems>
  <colItems count="1">
    <i/>
  </colItems>
  <dataFields count="1">
    <dataField name="Count of Emp ID" fld="0" subtotal="count"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2"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76C4E1-6D47-4C49-AD4D-BF25CC49DFBE}" sourceName="Department">
  <pivotTables>
    <pivotTable tabId="9" name="PivotTable1"/>
    <pivotTable tabId="11" name="PivotTable2"/>
    <pivotTable tabId="12" name="PivotTable1"/>
    <pivotTable tabId="7" name="PivotTable1"/>
  </pivotTables>
  <data>
    <tabular pivotCacheId="611503110">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8090792-7BB2-42EF-98F6-1E03D0B7654B}" sourceName="Status">
  <pivotTables>
    <pivotTable tabId="9" name="PivotTable1"/>
    <pivotTable tabId="11" name="PivotTable2"/>
    <pivotTable tabId="12" name="PivotTable1"/>
    <pivotTable tabId="7" name="PivotTable1"/>
  </pivotTables>
  <data>
    <tabular pivotCacheId="61150311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D6D30D2-4918-4C5D-92AE-11F451ADE112}" cache="Slicer_Department" caption="Department" style="SlicerStyleLight3" rowHeight="241300"/>
  <slicer name="Status 1" xr10:uid="{69C3C734-AD9D-4E97-9F8E-5386AC85414D}" cache="Slicer_Status" caption="Status" style="SlicerStyleLight3"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 dockstate="right" visibility="0" width="525" row="8">
    <wetp:webextensionref xmlns:r="http://schemas.openxmlformats.org/officeDocument/2006/relationships" r:id="rId3"/>
  </wetp:taskpane>
</wetp:taskpanes>
</file>

<file path=xl/webextensions/webextension1.xml><?xml version="1.0" encoding="utf-8"?>
<we:webextension xmlns:we="http://schemas.microsoft.com/office/webextensions/webextension/2010/11" id="{70B949F8-FE73-4990-BAFB-67375D77BF20}">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65BDB23D-EC22-418E-A708-0AFD2AB91D76}">
  <we:reference id="wa200010725" version="1.0.0.1" store="en-US" storeType="OMEX"/>
  <we:alternateReferences>
    <we:reference id="wa200010725" version="1.0.0.1" store="WA200010725" storeType="OMEX"/>
  </we:alternateReferences>
  <we:properties>
    <we:property name="claude.fileId" value="&quot;e4e85161-38ca-4fcb-b251-6512442a4fa0&quot;"/>
  </we:properties>
  <we:bindings/>
  <we:snapshot xmlns:r="http://schemas.openxmlformats.org/officeDocument/2006/relationships"/>
</we:webextension>
</file>

<file path=xl/webextensions/webextension3.xml><?xml version="1.0" encoding="utf-8"?>
<we:webextension xmlns:we="http://schemas.microsoft.com/office/webextensions/webextension/2010/11" id="{1FB80CEF-B08F-4DD4-97F0-6D0A2DC82DB8}">
  <we:reference id="wa200006007" version="1.2.3.0" store="en-US" storeType="OMEX"/>
  <we:alternateReferences>
    <we:reference id="wa200006007" version="1.2.3.0" store="WA200006007" storeType="OMEX"/>
  </we:alternateReferences>
  <we:properties>
    <we:property name="Office.ForceRefreshCustomFunctionsCache"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_xldudf_COPILOTR2</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R755"/>
  <sheetViews>
    <sheetView zoomScaleNormal="100" workbookViewId="0">
      <selection activeCell="I3" sqref="I3"/>
    </sheetView>
  </sheetViews>
  <sheetFormatPr defaultColWidth="8.6328125" defaultRowHeight="14.5" x14ac:dyDescent="0.35"/>
  <cols>
    <col min="1" max="1" width="10.81640625" bestFit="1" customWidth="1"/>
    <col min="2" max="2" width="17.81640625" bestFit="1" customWidth="1"/>
    <col min="3" max="3" width="14.6328125" bestFit="1" customWidth="1"/>
    <col min="4" max="4" width="9.1796875" bestFit="1" customWidth="1"/>
    <col min="5" max="5" width="14.26953125" style="23" bestFit="1" customWidth="1"/>
    <col min="6" max="6" width="13.54296875" bestFit="1" customWidth="1"/>
    <col min="7" max="7" width="14.7265625" bestFit="1" customWidth="1"/>
    <col min="8" max="8" width="13.90625" bestFit="1" customWidth="1"/>
    <col min="9" max="9" width="14.54296875" bestFit="1" customWidth="1"/>
    <col min="10" max="10" width="21.54296875" bestFit="1" customWidth="1"/>
    <col min="11" max="11" width="14.90625" bestFit="1" customWidth="1"/>
    <col min="12" max="12" width="17.453125" bestFit="1" customWidth="1"/>
    <col min="13" max="13" width="15" bestFit="1" customWidth="1"/>
    <col min="16" max="16" width="22" bestFit="1" customWidth="1"/>
  </cols>
  <sheetData>
    <row r="1" spans="1:18" ht="17.25" customHeight="1" x14ac:dyDescent="0.45">
      <c r="A1" s="25" t="s">
        <v>169</v>
      </c>
      <c r="B1" s="25"/>
      <c r="C1" s="25"/>
      <c r="D1" s="25"/>
      <c r="E1" s="25"/>
      <c r="F1" s="25"/>
      <c r="G1" s="25"/>
      <c r="H1" s="25"/>
      <c r="I1" s="25"/>
      <c r="J1" s="25"/>
      <c r="K1" s="25"/>
      <c r="L1" s="25"/>
      <c r="M1" s="25"/>
    </row>
    <row r="2" spans="1:18" x14ac:dyDescent="0.35">
      <c r="A2" s="4" t="s">
        <v>0</v>
      </c>
      <c r="B2" s="4" t="s">
        <v>1</v>
      </c>
      <c r="C2" s="4" t="s">
        <v>2</v>
      </c>
      <c r="D2" s="4" t="s">
        <v>3</v>
      </c>
      <c r="E2" s="22" t="s">
        <v>4</v>
      </c>
      <c r="F2" s="4" t="s">
        <v>5</v>
      </c>
      <c r="G2" s="4" t="s">
        <v>6</v>
      </c>
      <c r="H2" s="4" t="s">
        <v>170</v>
      </c>
      <c r="I2" s="4" t="s">
        <v>7</v>
      </c>
      <c r="J2" s="4" t="s">
        <v>8</v>
      </c>
      <c r="K2" s="4" t="s">
        <v>171</v>
      </c>
      <c r="L2" s="4" t="s">
        <v>172</v>
      </c>
      <c r="M2" s="4" t="s">
        <v>173</v>
      </c>
    </row>
    <row r="3" spans="1:18" ht="27.75" customHeight="1" x14ac:dyDescent="0.35">
      <c r="A3" s="1" t="s">
        <v>124</v>
      </c>
      <c r="B3" s="2" t="s">
        <v>125</v>
      </c>
      <c r="C3" s="1" t="s">
        <v>68</v>
      </c>
      <c r="D3" s="1" t="s">
        <v>139</v>
      </c>
      <c r="E3" s="24" t="s">
        <v>19</v>
      </c>
      <c r="F3" s="1" t="s">
        <v>64</v>
      </c>
      <c r="G3" s="1" t="s">
        <v>27</v>
      </c>
      <c r="H3" s="3">
        <f>IFERROR(MOD(TIMEVALUE(G3)-TIMEVALUE(F3),1)*24,0)</f>
        <v>12.666666666666668</v>
      </c>
      <c r="I3" s="24" t="str">
        <f t="shared" ref="I3:I66" si="0">IF(F3="No Login","",IF(TIMEVALUE(F3)&gt;TIMEVALUE("09:00"),"Late","On Time"))</f>
        <v>On Time</v>
      </c>
      <c r="J3" s="1" t="str">
        <f t="shared" ref="J3:J66" si="1">IF(E3="Absent","Absent",IF(H3&gt;=8,"Full Day",IF(H3&gt;=4,"Half Day","Short")))</f>
        <v>Full Day</v>
      </c>
      <c r="K3" s="1" t="str">
        <f t="shared" ref="K3:K66" si="2">IF(E3="Absent","N/A",IF(H3&gt;=8,"Full Day",IF(H3&gt;=4,"Half Day","Short")))</f>
        <v>Full Day</v>
      </c>
      <c r="L3" s="1" t="str">
        <f t="shared" ref="L3:L66" si="3">IF(J3=K3,"✓ Match","⚠ Mismatch")</f>
        <v>✓ Match</v>
      </c>
      <c r="M3" s="24" t="str">
        <f t="shared" ref="M3" si="4">IF(AND(J3=K3,OR(E3="Present",E3="Work From Home",E3="Absent")),"CLEAN","REVIEW")</f>
        <v>CLEAN</v>
      </c>
    </row>
    <row r="4" spans="1:18" ht="15" customHeight="1" x14ac:dyDescent="0.35">
      <c r="A4" s="1" t="s">
        <v>98</v>
      </c>
      <c r="B4" s="2" t="s">
        <v>99</v>
      </c>
      <c r="C4" s="1" t="s">
        <v>18</v>
      </c>
      <c r="D4" s="1" t="s">
        <v>139</v>
      </c>
      <c r="E4" s="24" t="s">
        <v>13</v>
      </c>
      <c r="F4" s="1" t="s">
        <v>14</v>
      </c>
      <c r="G4" s="1" t="s">
        <v>15</v>
      </c>
      <c r="H4" s="3">
        <v>0</v>
      </c>
      <c r="I4" s="24" t="str">
        <f t="shared" si="0"/>
        <v/>
      </c>
      <c r="J4" s="1" t="str">
        <f t="shared" si="1"/>
        <v>Absent</v>
      </c>
      <c r="K4" s="1" t="str">
        <f t="shared" si="2"/>
        <v>N/A</v>
      </c>
      <c r="L4" s="1" t="str">
        <f>IF(J4=K4,"✓ Match","⚠ Mismatch")</f>
        <v>⚠ Mismatch</v>
      </c>
      <c r="M4" s="24" t="str">
        <f t="shared" ref="M4:M35" si="5">IF(AND(J4=K4,OR(E4="Present",E4="Work From Home",E4="Absent")),"CLEAN","REVIEW")</f>
        <v>REVIEW</v>
      </c>
    </row>
    <row r="5" spans="1:18" ht="15" customHeight="1" x14ac:dyDescent="0.35">
      <c r="A5" s="1" t="s">
        <v>76</v>
      </c>
      <c r="B5" s="2" t="s">
        <v>77</v>
      </c>
      <c r="C5" s="1" t="s">
        <v>68</v>
      </c>
      <c r="D5" s="1" t="s">
        <v>139</v>
      </c>
      <c r="E5" s="24" t="s">
        <v>13</v>
      </c>
      <c r="F5" s="1" t="s">
        <v>14</v>
      </c>
      <c r="G5" s="1" t="s">
        <v>15</v>
      </c>
      <c r="H5" s="3">
        <v>0</v>
      </c>
      <c r="I5" s="24" t="str">
        <f t="shared" si="0"/>
        <v/>
      </c>
      <c r="J5" s="1" t="str">
        <f t="shared" si="1"/>
        <v>Absent</v>
      </c>
      <c r="K5" s="1" t="str">
        <f t="shared" si="2"/>
        <v>N/A</v>
      </c>
      <c r="L5" s="1" t="str">
        <f t="shared" si="3"/>
        <v>⚠ Mismatch</v>
      </c>
      <c r="M5" s="24" t="str">
        <f t="shared" si="5"/>
        <v>REVIEW</v>
      </c>
    </row>
    <row r="6" spans="1:18" ht="15" customHeight="1" x14ac:dyDescent="0.35">
      <c r="A6" s="1" t="s">
        <v>105</v>
      </c>
      <c r="B6" s="2" t="s">
        <v>106</v>
      </c>
      <c r="C6" s="1" t="s">
        <v>11</v>
      </c>
      <c r="D6" s="1" t="s">
        <v>139</v>
      </c>
      <c r="E6" s="24" t="s">
        <v>19</v>
      </c>
      <c r="F6" s="1" t="s">
        <v>163</v>
      </c>
      <c r="G6" s="1" t="s">
        <v>97</v>
      </c>
      <c r="H6" s="3">
        <f t="shared" ref="H6:H17" si="6">IFERROR(MOD(TIMEVALUE(G6)-TIMEVALUE(F6),1)*24,0)</f>
        <v>11.916666666666666</v>
      </c>
      <c r="I6" s="24" t="str">
        <f t="shared" si="0"/>
        <v>On Time</v>
      </c>
      <c r="J6" s="1" t="str">
        <f t="shared" si="1"/>
        <v>Full Day</v>
      </c>
      <c r="K6" s="1" t="str">
        <f t="shared" si="2"/>
        <v>Full Day</v>
      </c>
      <c r="L6" s="1" t="str">
        <f t="shared" si="3"/>
        <v>✓ Match</v>
      </c>
      <c r="M6" s="24" t="str">
        <f t="shared" si="5"/>
        <v>CLEAN</v>
      </c>
    </row>
    <row r="7" spans="1:18" ht="15" customHeight="1" x14ac:dyDescent="0.35">
      <c r="A7" s="1" t="s">
        <v>53</v>
      </c>
      <c r="B7" s="2" t="s">
        <v>54</v>
      </c>
      <c r="C7" s="1" t="s">
        <v>18</v>
      </c>
      <c r="D7" s="1" t="s">
        <v>139</v>
      </c>
      <c r="E7" s="24" t="s">
        <v>19</v>
      </c>
      <c r="F7" s="1" t="s">
        <v>20</v>
      </c>
      <c r="G7" s="1" t="s">
        <v>50</v>
      </c>
      <c r="H7" s="3">
        <f t="shared" si="6"/>
        <v>8.2500000000000018</v>
      </c>
      <c r="I7" s="24" t="str">
        <f t="shared" si="0"/>
        <v>On Time</v>
      </c>
      <c r="J7" s="1" t="str">
        <f t="shared" si="1"/>
        <v>Full Day</v>
      </c>
      <c r="K7" s="1" t="str">
        <f t="shared" si="2"/>
        <v>Full Day</v>
      </c>
      <c r="L7" s="1" t="str">
        <f t="shared" si="3"/>
        <v>✓ Match</v>
      </c>
      <c r="M7" s="24" t="str">
        <f t="shared" si="5"/>
        <v>CLEAN</v>
      </c>
    </row>
    <row r="8" spans="1:18" ht="15" customHeight="1" x14ac:dyDescent="0.35">
      <c r="A8" s="1" t="s">
        <v>101</v>
      </c>
      <c r="B8" s="2" t="s">
        <v>102</v>
      </c>
      <c r="C8" s="1" t="s">
        <v>30</v>
      </c>
      <c r="D8" s="1" t="s">
        <v>139</v>
      </c>
      <c r="E8" s="24" t="s">
        <v>19</v>
      </c>
      <c r="F8" s="1" t="s">
        <v>128</v>
      </c>
      <c r="G8" s="1" t="s">
        <v>35</v>
      </c>
      <c r="H8" s="3">
        <f t="shared" si="6"/>
        <v>9.6666666666666679</v>
      </c>
      <c r="I8" s="24" t="str">
        <f t="shared" si="0"/>
        <v>Late</v>
      </c>
      <c r="J8" s="1" t="str">
        <f t="shared" si="1"/>
        <v>Full Day</v>
      </c>
      <c r="K8" s="1" t="str">
        <f t="shared" si="2"/>
        <v>Full Day</v>
      </c>
      <c r="L8" s="1" t="str">
        <f t="shared" si="3"/>
        <v>✓ Match</v>
      </c>
      <c r="M8" s="24" t="str">
        <f t="shared" si="5"/>
        <v>CLEAN</v>
      </c>
    </row>
    <row r="9" spans="1:18" ht="15" customHeight="1" x14ac:dyDescent="0.35">
      <c r="A9" s="1" t="s">
        <v>66</v>
      </c>
      <c r="B9" s="2" t="s">
        <v>67</v>
      </c>
      <c r="C9" s="1" t="s">
        <v>68</v>
      </c>
      <c r="D9" s="1" t="s">
        <v>139</v>
      </c>
      <c r="E9" s="24" t="s">
        <v>19</v>
      </c>
      <c r="F9" s="1" t="s">
        <v>138</v>
      </c>
      <c r="G9" s="1" t="s">
        <v>155</v>
      </c>
      <c r="H9" s="3">
        <f t="shared" si="6"/>
        <v>8</v>
      </c>
      <c r="I9" s="24" t="str">
        <f t="shared" si="0"/>
        <v>Late</v>
      </c>
      <c r="J9" s="1" t="str">
        <f t="shared" si="1"/>
        <v>Full Day</v>
      </c>
      <c r="K9" s="1" t="str">
        <f t="shared" si="2"/>
        <v>Full Day</v>
      </c>
      <c r="L9" s="1" t="str">
        <f t="shared" si="3"/>
        <v>✓ Match</v>
      </c>
      <c r="M9" s="24" t="str">
        <f t="shared" si="5"/>
        <v>CLEAN</v>
      </c>
    </row>
    <row r="10" spans="1:18" ht="15" customHeight="1" x14ac:dyDescent="0.35">
      <c r="A10" s="1" t="s">
        <v>40</v>
      </c>
      <c r="B10" s="2" t="s">
        <v>41</v>
      </c>
      <c r="C10" s="1" t="s">
        <v>24</v>
      </c>
      <c r="D10" s="1" t="s">
        <v>139</v>
      </c>
      <c r="E10" s="24" t="s">
        <v>19</v>
      </c>
      <c r="F10" s="1" t="s">
        <v>138</v>
      </c>
      <c r="G10" s="1" t="s">
        <v>27</v>
      </c>
      <c r="H10" s="3">
        <f t="shared" si="6"/>
        <v>11.583333333333336</v>
      </c>
      <c r="I10" s="24" t="str">
        <f t="shared" si="0"/>
        <v>Late</v>
      </c>
      <c r="J10" s="1" t="str">
        <f t="shared" si="1"/>
        <v>Full Day</v>
      </c>
      <c r="K10" s="1" t="str">
        <f t="shared" si="2"/>
        <v>Full Day</v>
      </c>
      <c r="L10" s="1" t="str">
        <f t="shared" si="3"/>
        <v>✓ Match</v>
      </c>
      <c r="M10" s="24" t="str">
        <f t="shared" si="5"/>
        <v>CLEAN</v>
      </c>
    </row>
    <row r="11" spans="1:18" ht="15" customHeight="1" x14ac:dyDescent="0.35">
      <c r="A11" s="1" t="s">
        <v>79</v>
      </c>
      <c r="B11" s="2" t="s">
        <v>80</v>
      </c>
      <c r="C11" s="1" t="s">
        <v>18</v>
      </c>
      <c r="D11" s="1" t="s">
        <v>139</v>
      </c>
      <c r="E11" s="24" t="s">
        <v>19</v>
      </c>
      <c r="F11" s="1" t="s">
        <v>138</v>
      </c>
      <c r="G11" s="1" t="s">
        <v>85</v>
      </c>
      <c r="H11" s="3">
        <f t="shared" si="6"/>
        <v>7.0000000000000018</v>
      </c>
      <c r="I11" s="24" t="str">
        <f t="shared" si="0"/>
        <v>Late</v>
      </c>
      <c r="J11" s="1" t="str">
        <f t="shared" si="1"/>
        <v>Half Day</v>
      </c>
      <c r="K11" s="1" t="str">
        <f t="shared" si="2"/>
        <v>Half Day</v>
      </c>
      <c r="L11" s="1" t="str">
        <f t="shared" si="3"/>
        <v>✓ Match</v>
      </c>
      <c r="M11" s="24" t="str">
        <f t="shared" si="5"/>
        <v>CLEAN</v>
      </c>
    </row>
    <row r="12" spans="1:18" ht="15" customHeight="1" x14ac:dyDescent="0.35">
      <c r="A12" s="1" t="s">
        <v>130</v>
      </c>
      <c r="B12" s="2" t="s">
        <v>131</v>
      </c>
      <c r="C12" s="1" t="s">
        <v>11</v>
      </c>
      <c r="D12" s="1" t="s">
        <v>139</v>
      </c>
      <c r="E12" s="24" t="s">
        <v>19</v>
      </c>
      <c r="F12" s="1" t="s">
        <v>32</v>
      </c>
      <c r="G12" s="1" t="s">
        <v>27</v>
      </c>
      <c r="H12" s="3">
        <f t="shared" si="6"/>
        <v>12.583333333333334</v>
      </c>
      <c r="I12" s="24" t="str">
        <f t="shared" si="0"/>
        <v>On Time</v>
      </c>
      <c r="J12" s="1" t="str">
        <f t="shared" si="1"/>
        <v>Full Day</v>
      </c>
      <c r="K12" s="1" t="str">
        <f t="shared" si="2"/>
        <v>Full Day</v>
      </c>
      <c r="L12" s="1" t="str">
        <f t="shared" si="3"/>
        <v>✓ Match</v>
      </c>
      <c r="M12" s="24" t="str">
        <f t="shared" si="5"/>
        <v>CLEAN</v>
      </c>
      <c r="R12" s="7"/>
    </row>
    <row r="13" spans="1:18" ht="15" customHeight="1" x14ac:dyDescent="0.35">
      <c r="A13" s="1" t="s">
        <v>158</v>
      </c>
      <c r="B13" s="2" t="s">
        <v>159</v>
      </c>
      <c r="C13" s="1" t="s">
        <v>11</v>
      </c>
      <c r="D13" s="1" t="s">
        <v>139</v>
      </c>
      <c r="E13" s="24" t="s">
        <v>19</v>
      </c>
      <c r="F13" s="1" t="s">
        <v>32</v>
      </c>
      <c r="G13" s="1" t="s">
        <v>85</v>
      </c>
      <c r="H13" s="3">
        <f t="shared" si="6"/>
        <v>8.0000000000000018</v>
      </c>
      <c r="I13" s="24" t="str">
        <f t="shared" si="0"/>
        <v>On Time</v>
      </c>
      <c r="J13" s="1" t="str">
        <f t="shared" si="1"/>
        <v>Full Day</v>
      </c>
      <c r="K13" s="1" t="str">
        <f t="shared" si="2"/>
        <v>Full Day</v>
      </c>
      <c r="L13" s="1" t="str">
        <f t="shared" si="3"/>
        <v>✓ Match</v>
      </c>
      <c r="M13" s="24" t="str">
        <f t="shared" si="5"/>
        <v>CLEAN</v>
      </c>
      <c r="R13" s="7"/>
    </row>
    <row r="14" spans="1:18" ht="15" customHeight="1" x14ac:dyDescent="0.35">
      <c r="A14" s="1" t="s">
        <v>112</v>
      </c>
      <c r="B14" s="2" t="s">
        <v>113</v>
      </c>
      <c r="C14" s="1" t="s">
        <v>30</v>
      </c>
      <c r="D14" s="1" t="s">
        <v>139</v>
      </c>
      <c r="E14" s="24" t="s">
        <v>37</v>
      </c>
      <c r="F14" s="1" t="s">
        <v>122</v>
      </c>
      <c r="G14" s="1" t="s">
        <v>39</v>
      </c>
      <c r="H14" s="3">
        <f t="shared" si="6"/>
        <v>9.4166666666666661</v>
      </c>
      <c r="I14" s="24" t="str">
        <f t="shared" si="0"/>
        <v>Late</v>
      </c>
      <c r="J14" s="1" t="str">
        <f t="shared" si="1"/>
        <v>Full Day</v>
      </c>
      <c r="K14" s="1" t="str">
        <f t="shared" si="2"/>
        <v>Full Day</v>
      </c>
      <c r="L14" s="1" t="str">
        <f t="shared" si="3"/>
        <v>✓ Match</v>
      </c>
      <c r="M14" s="24" t="str">
        <f t="shared" si="5"/>
        <v>CLEAN</v>
      </c>
      <c r="R14" s="7"/>
    </row>
    <row r="15" spans="1:18" ht="15" customHeight="1" x14ac:dyDescent="0.35">
      <c r="A15" s="1" t="s">
        <v>134</v>
      </c>
      <c r="B15" s="2" t="s">
        <v>135</v>
      </c>
      <c r="C15" s="1" t="s">
        <v>68</v>
      </c>
      <c r="D15" s="1" t="s">
        <v>139</v>
      </c>
      <c r="E15" s="24" t="s">
        <v>19</v>
      </c>
      <c r="F15" s="1" t="s">
        <v>140</v>
      </c>
      <c r="G15" s="1" t="s">
        <v>85</v>
      </c>
      <c r="H15" s="3">
        <f t="shared" si="6"/>
        <v>6.4166666666666679</v>
      </c>
      <c r="I15" s="24" t="str">
        <f t="shared" si="0"/>
        <v>Late</v>
      </c>
      <c r="J15" s="1" t="str">
        <f t="shared" si="1"/>
        <v>Half Day</v>
      </c>
      <c r="K15" s="1" t="str">
        <f t="shared" si="2"/>
        <v>Half Day</v>
      </c>
      <c r="L15" s="1" t="str">
        <f t="shared" si="3"/>
        <v>✓ Match</v>
      </c>
      <c r="M15" s="24" t="str">
        <f t="shared" si="5"/>
        <v>CLEAN</v>
      </c>
      <c r="R15" s="7"/>
    </row>
    <row r="16" spans="1:18" ht="15" customHeight="1" x14ac:dyDescent="0.35">
      <c r="A16" s="1" t="s">
        <v>91</v>
      </c>
      <c r="B16" s="2" t="s">
        <v>92</v>
      </c>
      <c r="C16" s="1" t="s">
        <v>18</v>
      </c>
      <c r="D16" s="1" t="s">
        <v>139</v>
      </c>
      <c r="E16" s="24" t="s">
        <v>19</v>
      </c>
      <c r="F16" s="1" t="s">
        <v>56</v>
      </c>
      <c r="G16" s="1" t="s">
        <v>90</v>
      </c>
      <c r="H16" s="3">
        <f t="shared" si="6"/>
        <v>9.7500000000000018</v>
      </c>
      <c r="I16" s="24" t="str">
        <f t="shared" si="0"/>
        <v>Late</v>
      </c>
      <c r="J16" s="1" t="str">
        <f t="shared" si="1"/>
        <v>Full Day</v>
      </c>
      <c r="K16" s="1" t="str">
        <f t="shared" si="2"/>
        <v>Full Day</v>
      </c>
      <c r="L16" s="1" t="str">
        <f t="shared" si="3"/>
        <v>✓ Match</v>
      </c>
      <c r="M16" s="24" t="str">
        <f t="shared" si="5"/>
        <v>CLEAN</v>
      </c>
    </row>
    <row r="17" spans="1:13" ht="15" customHeight="1" x14ac:dyDescent="0.35">
      <c r="A17" s="1" t="s">
        <v>142</v>
      </c>
      <c r="B17" s="2" t="s">
        <v>143</v>
      </c>
      <c r="C17" s="1" t="s">
        <v>18</v>
      </c>
      <c r="D17" s="1" t="s">
        <v>139</v>
      </c>
      <c r="E17" s="24" t="s">
        <v>19</v>
      </c>
      <c r="F17" s="1" t="s">
        <v>84</v>
      </c>
      <c r="G17" s="1" t="s">
        <v>97</v>
      </c>
      <c r="H17" s="3">
        <f t="shared" si="6"/>
        <v>11</v>
      </c>
      <c r="I17" s="24" t="str">
        <f t="shared" si="0"/>
        <v>Late</v>
      </c>
      <c r="J17" s="1" t="str">
        <f t="shared" si="1"/>
        <v>Full Day</v>
      </c>
      <c r="K17" s="1" t="str">
        <f t="shared" si="2"/>
        <v>Full Day</v>
      </c>
      <c r="L17" s="1" t="str">
        <f t="shared" si="3"/>
        <v>✓ Match</v>
      </c>
      <c r="M17" s="24" t="str">
        <f t="shared" si="5"/>
        <v>CLEAN</v>
      </c>
    </row>
    <row r="18" spans="1:13" ht="15" customHeight="1" x14ac:dyDescent="0.35">
      <c r="A18" s="1" t="s">
        <v>82</v>
      </c>
      <c r="B18" s="2" t="s">
        <v>83</v>
      </c>
      <c r="C18" s="1" t="s">
        <v>68</v>
      </c>
      <c r="D18" s="1" t="s">
        <v>139</v>
      </c>
      <c r="E18" s="24" t="s">
        <v>13</v>
      </c>
      <c r="F18" s="1" t="s">
        <v>14</v>
      </c>
      <c r="G18" s="1" t="s">
        <v>15</v>
      </c>
      <c r="H18" s="3">
        <v>0</v>
      </c>
      <c r="I18" s="24" t="str">
        <f t="shared" si="0"/>
        <v/>
      </c>
      <c r="J18" s="1" t="str">
        <f t="shared" si="1"/>
        <v>Absent</v>
      </c>
      <c r="K18" s="1" t="str">
        <f t="shared" si="2"/>
        <v>N/A</v>
      </c>
      <c r="L18" s="1" t="str">
        <f t="shared" si="3"/>
        <v>⚠ Mismatch</v>
      </c>
      <c r="M18" s="24" t="str">
        <f t="shared" si="5"/>
        <v>REVIEW</v>
      </c>
    </row>
    <row r="19" spans="1:13" ht="15" customHeight="1" x14ac:dyDescent="0.35">
      <c r="A19" s="1" t="s">
        <v>22</v>
      </c>
      <c r="B19" s="2" t="s">
        <v>23</v>
      </c>
      <c r="C19" s="1" t="s">
        <v>24</v>
      </c>
      <c r="D19" s="1" t="s">
        <v>139</v>
      </c>
      <c r="E19" s="24" t="s">
        <v>13</v>
      </c>
      <c r="F19" s="1" t="s">
        <v>14</v>
      </c>
      <c r="G19" s="1" t="s">
        <v>15</v>
      </c>
      <c r="H19" s="3">
        <v>0</v>
      </c>
      <c r="I19" s="24" t="str">
        <f t="shared" si="0"/>
        <v/>
      </c>
      <c r="J19" s="1" t="str">
        <f t="shared" si="1"/>
        <v>Absent</v>
      </c>
      <c r="K19" s="1" t="str">
        <f t="shared" si="2"/>
        <v>N/A</v>
      </c>
      <c r="L19" s="1" t="str">
        <f t="shared" si="3"/>
        <v>⚠ Mismatch</v>
      </c>
      <c r="M19" s="24" t="str">
        <f t="shared" si="5"/>
        <v>REVIEW</v>
      </c>
    </row>
    <row r="20" spans="1:13" ht="15" customHeight="1" x14ac:dyDescent="0.35">
      <c r="A20" s="1" t="s">
        <v>61</v>
      </c>
      <c r="B20" s="2" t="s">
        <v>62</v>
      </c>
      <c r="C20" s="1" t="s">
        <v>11</v>
      </c>
      <c r="D20" s="1" t="s">
        <v>139</v>
      </c>
      <c r="E20" s="24" t="s">
        <v>19</v>
      </c>
      <c r="F20" s="1" t="s">
        <v>100</v>
      </c>
      <c r="G20" s="1" t="s">
        <v>85</v>
      </c>
      <c r="H20" s="3">
        <f>IFERROR(MOD(TIMEVALUE(G20)-TIMEVALUE(F20),1)*24,0)</f>
        <v>8.1666666666666679</v>
      </c>
      <c r="I20" s="24" t="str">
        <f t="shared" si="0"/>
        <v>On Time</v>
      </c>
      <c r="J20" s="1" t="str">
        <f t="shared" si="1"/>
        <v>Full Day</v>
      </c>
      <c r="K20" s="1" t="str">
        <f t="shared" si="2"/>
        <v>Full Day</v>
      </c>
      <c r="L20" s="1" t="str">
        <f t="shared" si="3"/>
        <v>✓ Match</v>
      </c>
      <c r="M20" s="24" t="str">
        <f t="shared" si="5"/>
        <v>CLEAN</v>
      </c>
    </row>
    <row r="21" spans="1:13" ht="15" customHeight="1" x14ac:dyDescent="0.35">
      <c r="A21" s="1" t="s">
        <v>47</v>
      </c>
      <c r="B21" s="2" t="s">
        <v>48</v>
      </c>
      <c r="C21" s="1" t="s">
        <v>18</v>
      </c>
      <c r="D21" s="1" t="s">
        <v>139</v>
      </c>
      <c r="E21" s="24" t="s">
        <v>19</v>
      </c>
      <c r="F21" s="1" t="s">
        <v>140</v>
      </c>
      <c r="G21" s="1" t="s">
        <v>161</v>
      </c>
      <c r="H21" s="3">
        <f>IFERROR(MOD(TIMEVALUE(G21)-TIMEVALUE(F21),1)*24,0)</f>
        <v>8.4166666666666679</v>
      </c>
      <c r="I21" s="24" t="str">
        <f t="shared" si="0"/>
        <v>Late</v>
      </c>
      <c r="J21" s="1" t="str">
        <f t="shared" si="1"/>
        <v>Full Day</v>
      </c>
      <c r="K21" s="1" t="str">
        <f t="shared" si="2"/>
        <v>Full Day</v>
      </c>
      <c r="L21" s="1" t="str">
        <f t="shared" si="3"/>
        <v>✓ Match</v>
      </c>
      <c r="M21" s="24" t="str">
        <f t="shared" si="5"/>
        <v>CLEAN</v>
      </c>
    </row>
    <row r="22" spans="1:13" ht="15" customHeight="1" x14ac:dyDescent="0.35">
      <c r="A22" s="1" t="s">
        <v>45</v>
      </c>
      <c r="B22" s="2" t="s">
        <v>46</v>
      </c>
      <c r="C22" s="1" t="s">
        <v>18</v>
      </c>
      <c r="D22" s="1" t="s">
        <v>139</v>
      </c>
      <c r="E22" s="24" t="s">
        <v>13</v>
      </c>
      <c r="F22" s="1" t="s">
        <v>14</v>
      </c>
      <c r="G22" s="1" t="s">
        <v>15</v>
      </c>
      <c r="H22" s="3">
        <v>0</v>
      </c>
      <c r="I22" s="24" t="str">
        <f t="shared" si="0"/>
        <v/>
      </c>
      <c r="J22" s="1" t="str">
        <f t="shared" si="1"/>
        <v>Absent</v>
      </c>
      <c r="K22" s="1" t="str">
        <f t="shared" si="2"/>
        <v>N/A</v>
      </c>
      <c r="L22" s="1" t="str">
        <f t="shared" si="3"/>
        <v>⚠ Mismatch</v>
      </c>
      <c r="M22" s="24" t="str">
        <f t="shared" si="5"/>
        <v>REVIEW</v>
      </c>
    </row>
    <row r="23" spans="1:13" ht="15" customHeight="1" x14ac:dyDescent="0.35">
      <c r="A23" s="1" t="s">
        <v>95</v>
      </c>
      <c r="B23" s="2" t="s">
        <v>96</v>
      </c>
      <c r="C23" s="1" t="s">
        <v>68</v>
      </c>
      <c r="D23" s="1" t="s">
        <v>139</v>
      </c>
      <c r="E23" s="24" t="s">
        <v>19</v>
      </c>
      <c r="F23" s="1" t="s">
        <v>43</v>
      </c>
      <c r="G23" s="1" t="s">
        <v>60</v>
      </c>
      <c r="H23" s="3">
        <f>IFERROR(MOD(TIMEVALUE(G23)-TIMEVALUE(F23),1)*24,0)</f>
        <v>10.499999999999998</v>
      </c>
      <c r="I23" s="24" t="str">
        <f t="shared" si="0"/>
        <v>On Time</v>
      </c>
      <c r="J23" s="1" t="str">
        <f t="shared" si="1"/>
        <v>Full Day</v>
      </c>
      <c r="K23" s="1" t="str">
        <f t="shared" si="2"/>
        <v>Full Day</v>
      </c>
      <c r="L23" s="1" t="str">
        <f t="shared" si="3"/>
        <v>✓ Match</v>
      </c>
      <c r="M23" s="24" t="str">
        <f t="shared" si="5"/>
        <v>CLEAN</v>
      </c>
    </row>
    <row r="24" spans="1:13" ht="15" customHeight="1" x14ac:dyDescent="0.35">
      <c r="A24" s="1" t="s">
        <v>28</v>
      </c>
      <c r="B24" s="2" t="s">
        <v>29</v>
      </c>
      <c r="C24" s="1" t="s">
        <v>30</v>
      </c>
      <c r="D24" s="1" t="s">
        <v>139</v>
      </c>
      <c r="E24" s="24" t="s">
        <v>19</v>
      </c>
      <c r="F24" s="1" t="s">
        <v>75</v>
      </c>
      <c r="G24" s="1" t="s">
        <v>60</v>
      </c>
      <c r="H24" s="3">
        <f>IFERROR(MOD(TIMEVALUE(G24)-TIMEVALUE(F24),1)*24,0)</f>
        <v>10.75</v>
      </c>
      <c r="I24" s="24" t="str">
        <f t="shared" si="0"/>
        <v>On Time</v>
      </c>
      <c r="J24" s="1" t="str">
        <f t="shared" si="1"/>
        <v>Full Day</v>
      </c>
      <c r="K24" s="1" t="str">
        <f t="shared" si="2"/>
        <v>Full Day</v>
      </c>
      <c r="L24" s="1" t="str">
        <f t="shared" si="3"/>
        <v>✓ Match</v>
      </c>
      <c r="M24" s="24" t="str">
        <f t="shared" si="5"/>
        <v>CLEAN</v>
      </c>
    </row>
    <row r="25" spans="1:13" ht="15" customHeight="1" x14ac:dyDescent="0.35">
      <c r="A25" s="1" t="s">
        <v>120</v>
      </c>
      <c r="B25" s="2" t="s">
        <v>121</v>
      </c>
      <c r="C25" s="1" t="s">
        <v>11</v>
      </c>
      <c r="D25" s="1" t="s">
        <v>139</v>
      </c>
      <c r="E25" s="24" t="s">
        <v>19</v>
      </c>
      <c r="F25" s="1" t="s">
        <v>163</v>
      </c>
      <c r="G25" s="1" t="s">
        <v>94</v>
      </c>
      <c r="H25" s="3">
        <f>IFERROR(MOD(TIMEVALUE(G25)-TIMEVALUE(F25),1)*24,0)</f>
        <v>10.916666666666666</v>
      </c>
      <c r="I25" s="24" t="str">
        <f t="shared" si="0"/>
        <v>On Time</v>
      </c>
      <c r="J25" s="1" t="str">
        <f t="shared" si="1"/>
        <v>Full Day</v>
      </c>
      <c r="K25" s="1" t="str">
        <f t="shared" si="2"/>
        <v>Full Day</v>
      </c>
      <c r="L25" s="1" t="str">
        <f t="shared" si="3"/>
        <v>✓ Match</v>
      </c>
      <c r="M25" s="24" t="str">
        <f t="shared" si="5"/>
        <v>CLEAN</v>
      </c>
    </row>
    <row r="26" spans="1:13" ht="15" customHeight="1" x14ac:dyDescent="0.35">
      <c r="A26" s="1" t="s">
        <v>57</v>
      </c>
      <c r="B26" s="2" t="s">
        <v>58</v>
      </c>
      <c r="C26" s="1" t="s">
        <v>30</v>
      </c>
      <c r="D26" s="1" t="s">
        <v>139</v>
      </c>
      <c r="E26" s="24" t="s">
        <v>13</v>
      </c>
      <c r="F26" s="1" t="s">
        <v>14</v>
      </c>
      <c r="G26" s="1" t="s">
        <v>15</v>
      </c>
      <c r="H26" s="3">
        <v>0</v>
      </c>
      <c r="I26" s="24" t="str">
        <f t="shared" si="0"/>
        <v/>
      </c>
      <c r="J26" s="1" t="str">
        <f t="shared" si="1"/>
        <v>Absent</v>
      </c>
      <c r="K26" s="1" t="str">
        <f t="shared" si="2"/>
        <v>N/A</v>
      </c>
      <c r="L26" s="1" t="str">
        <f t="shared" si="3"/>
        <v>⚠ Mismatch</v>
      </c>
      <c r="M26" s="24" t="str">
        <f t="shared" si="5"/>
        <v>REVIEW</v>
      </c>
    </row>
    <row r="27" spans="1:13" ht="15" customHeight="1" x14ac:dyDescent="0.35">
      <c r="A27" s="1" t="s">
        <v>9</v>
      </c>
      <c r="B27" s="2" t="s">
        <v>10</v>
      </c>
      <c r="C27" s="1" t="s">
        <v>11</v>
      </c>
      <c r="D27" s="1" t="s">
        <v>139</v>
      </c>
      <c r="E27" s="24" t="s">
        <v>19</v>
      </c>
      <c r="F27" s="1" t="s">
        <v>20</v>
      </c>
      <c r="G27" s="1" t="s">
        <v>156</v>
      </c>
      <c r="H27" s="3">
        <f>IFERROR(MOD(TIMEVALUE(G27)-TIMEVALUE(F27),1)*24,0)</f>
        <v>8.75</v>
      </c>
      <c r="I27" s="24" t="str">
        <f t="shared" si="0"/>
        <v>On Time</v>
      </c>
      <c r="J27" s="1" t="str">
        <f t="shared" si="1"/>
        <v>Full Day</v>
      </c>
      <c r="K27" s="1" t="str">
        <f t="shared" si="2"/>
        <v>Full Day</v>
      </c>
      <c r="L27" s="1" t="str">
        <f t="shared" si="3"/>
        <v>✓ Match</v>
      </c>
      <c r="M27" s="24" t="str">
        <f t="shared" si="5"/>
        <v>CLEAN</v>
      </c>
    </row>
    <row r="28" spans="1:13" ht="15" customHeight="1" x14ac:dyDescent="0.35">
      <c r="A28" s="1" t="s">
        <v>72</v>
      </c>
      <c r="B28" s="2" t="s">
        <v>73</v>
      </c>
      <c r="C28" s="1" t="s">
        <v>68</v>
      </c>
      <c r="D28" s="1" t="s">
        <v>139</v>
      </c>
      <c r="E28" s="24" t="s">
        <v>19</v>
      </c>
      <c r="F28" s="1" t="s">
        <v>93</v>
      </c>
      <c r="G28" s="1" t="s">
        <v>39</v>
      </c>
      <c r="H28" s="3">
        <f>IFERROR(MOD(TIMEVALUE(G28)-TIMEVALUE(F28),1)*24,0)</f>
        <v>8.4166666666666661</v>
      </c>
      <c r="I28" s="24" t="str">
        <f t="shared" si="0"/>
        <v>Late</v>
      </c>
      <c r="J28" s="1" t="str">
        <f t="shared" si="1"/>
        <v>Full Day</v>
      </c>
      <c r="K28" s="1" t="str">
        <f t="shared" si="2"/>
        <v>Full Day</v>
      </c>
      <c r="L28" s="1" t="str">
        <f t="shared" si="3"/>
        <v>✓ Match</v>
      </c>
      <c r="M28" s="24" t="str">
        <f t="shared" si="5"/>
        <v>CLEAN</v>
      </c>
    </row>
    <row r="29" spans="1:13" ht="15" customHeight="1" x14ac:dyDescent="0.35">
      <c r="A29" s="1" t="s">
        <v>117</v>
      </c>
      <c r="B29" s="2" t="s">
        <v>118</v>
      </c>
      <c r="C29" s="1" t="s">
        <v>30</v>
      </c>
      <c r="D29" s="1" t="s">
        <v>139</v>
      </c>
      <c r="E29" s="24" t="s">
        <v>13</v>
      </c>
      <c r="F29" s="1" t="s">
        <v>14</v>
      </c>
      <c r="G29" s="1" t="s">
        <v>15</v>
      </c>
      <c r="H29" s="3">
        <v>0</v>
      </c>
      <c r="I29" s="24" t="str">
        <f t="shared" si="0"/>
        <v/>
      </c>
      <c r="J29" s="1" t="str">
        <f t="shared" si="1"/>
        <v>Absent</v>
      </c>
      <c r="K29" s="1" t="str">
        <f t="shared" si="2"/>
        <v>N/A</v>
      </c>
      <c r="L29" s="1" t="str">
        <f t="shared" si="3"/>
        <v>⚠ Mismatch</v>
      </c>
      <c r="M29" s="24" t="str">
        <f t="shared" si="5"/>
        <v>REVIEW</v>
      </c>
    </row>
    <row r="30" spans="1:13" ht="15" customHeight="1" x14ac:dyDescent="0.35">
      <c r="A30" s="1" t="s">
        <v>110</v>
      </c>
      <c r="B30" s="2" t="s">
        <v>111</v>
      </c>
      <c r="C30" s="1" t="s">
        <v>68</v>
      </c>
      <c r="D30" s="1" t="s">
        <v>139</v>
      </c>
      <c r="E30" s="24" t="s">
        <v>19</v>
      </c>
      <c r="F30" s="1" t="s">
        <v>137</v>
      </c>
      <c r="G30" s="1" t="s">
        <v>27</v>
      </c>
      <c r="H30" s="3">
        <f t="shared" ref="H30:H39" si="7">IFERROR(MOD(TIMEVALUE(G30)-TIMEVALUE(F30),1)*24,0)</f>
        <v>11.666666666666666</v>
      </c>
      <c r="I30" s="24" t="str">
        <f t="shared" si="0"/>
        <v>Late</v>
      </c>
      <c r="J30" s="1" t="str">
        <f t="shared" si="1"/>
        <v>Full Day</v>
      </c>
      <c r="K30" s="1" t="str">
        <f t="shared" si="2"/>
        <v>Full Day</v>
      </c>
      <c r="L30" s="1" t="str">
        <f t="shared" si="3"/>
        <v>✓ Match</v>
      </c>
      <c r="M30" s="24" t="str">
        <f t="shared" si="5"/>
        <v>CLEAN</v>
      </c>
    </row>
    <row r="31" spans="1:13" ht="15" customHeight="1" x14ac:dyDescent="0.35">
      <c r="A31" s="1" t="s">
        <v>150</v>
      </c>
      <c r="B31" s="2" t="s">
        <v>151</v>
      </c>
      <c r="C31" s="1" t="s">
        <v>68</v>
      </c>
      <c r="D31" s="1" t="s">
        <v>139</v>
      </c>
      <c r="E31" s="24" t="s">
        <v>19</v>
      </c>
      <c r="F31" s="1" t="s">
        <v>140</v>
      </c>
      <c r="G31" s="1" t="s">
        <v>65</v>
      </c>
      <c r="H31" s="3">
        <f t="shared" si="7"/>
        <v>8.25</v>
      </c>
      <c r="I31" s="24" t="str">
        <f t="shared" si="0"/>
        <v>Late</v>
      </c>
      <c r="J31" s="1" t="str">
        <f t="shared" si="1"/>
        <v>Full Day</v>
      </c>
      <c r="K31" s="1" t="str">
        <f t="shared" si="2"/>
        <v>Full Day</v>
      </c>
      <c r="L31" s="1" t="str">
        <f t="shared" si="3"/>
        <v>✓ Match</v>
      </c>
      <c r="M31" s="24" t="str">
        <f t="shared" si="5"/>
        <v>CLEAN</v>
      </c>
    </row>
    <row r="32" spans="1:13" ht="15" customHeight="1" x14ac:dyDescent="0.35">
      <c r="A32" s="1" t="s">
        <v>16</v>
      </c>
      <c r="B32" s="2" t="s">
        <v>17</v>
      </c>
      <c r="C32" s="1" t="s">
        <v>18</v>
      </c>
      <c r="D32" s="1" t="s">
        <v>139</v>
      </c>
      <c r="E32" s="24" t="s">
        <v>19</v>
      </c>
      <c r="F32" s="1" t="s">
        <v>100</v>
      </c>
      <c r="G32" s="1" t="s">
        <v>146</v>
      </c>
      <c r="H32" s="3">
        <f t="shared" si="7"/>
        <v>7.1666666666666661</v>
      </c>
      <c r="I32" s="24" t="str">
        <f t="shared" si="0"/>
        <v>On Time</v>
      </c>
      <c r="J32" s="1" t="str">
        <f t="shared" si="1"/>
        <v>Half Day</v>
      </c>
      <c r="K32" s="1" t="str">
        <f t="shared" si="2"/>
        <v>Half Day</v>
      </c>
      <c r="L32" s="1" t="str">
        <f t="shared" si="3"/>
        <v>✓ Match</v>
      </c>
      <c r="M32" s="24" t="str">
        <f t="shared" si="5"/>
        <v>CLEAN</v>
      </c>
    </row>
    <row r="33" spans="1:13" ht="15" customHeight="1" x14ac:dyDescent="0.35">
      <c r="A33" s="1" t="s">
        <v>61</v>
      </c>
      <c r="B33" s="2" t="s">
        <v>62</v>
      </c>
      <c r="C33" s="1" t="s">
        <v>11</v>
      </c>
      <c r="D33" s="1" t="s">
        <v>63</v>
      </c>
      <c r="E33" s="24" t="s">
        <v>19</v>
      </c>
      <c r="F33" s="1" t="s">
        <v>64</v>
      </c>
      <c r="G33" s="1" t="s">
        <v>65</v>
      </c>
      <c r="H33" s="3">
        <f t="shared" si="7"/>
        <v>9.9166666666666661</v>
      </c>
      <c r="I33" s="24" t="str">
        <f t="shared" si="0"/>
        <v>On Time</v>
      </c>
      <c r="J33" s="1" t="str">
        <f t="shared" si="1"/>
        <v>Full Day</v>
      </c>
      <c r="K33" s="1" t="str">
        <f t="shared" si="2"/>
        <v>Full Day</v>
      </c>
      <c r="L33" s="1" t="str">
        <f t="shared" si="3"/>
        <v>✓ Match</v>
      </c>
      <c r="M33" s="24" t="str">
        <f t="shared" si="5"/>
        <v>CLEAN</v>
      </c>
    </row>
    <row r="34" spans="1:13" ht="15" customHeight="1" x14ac:dyDescent="0.35">
      <c r="A34" s="1" t="s">
        <v>79</v>
      </c>
      <c r="B34" s="2" t="s">
        <v>80</v>
      </c>
      <c r="C34" s="1" t="s">
        <v>18</v>
      </c>
      <c r="D34" s="1" t="s">
        <v>63</v>
      </c>
      <c r="E34" s="24" t="s">
        <v>19</v>
      </c>
      <c r="F34" s="1" t="s">
        <v>32</v>
      </c>
      <c r="G34" s="1" t="s">
        <v>144</v>
      </c>
      <c r="H34" s="3">
        <f t="shared" si="7"/>
        <v>8.3333333333333339</v>
      </c>
      <c r="I34" s="24" t="str">
        <f t="shared" si="0"/>
        <v>On Time</v>
      </c>
      <c r="J34" s="1" t="str">
        <f t="shared" si="1"/>
        <v>Full Day</v>
      </c>
      <c r="K34" s="1" t="str">
        <f t="shared" si="2"/>
        <v>Full Day</v>
      </c>
      <c r="L34" s="1" t="str">
        <f t="shared" si="3"/>
        <v>✓ Match</v>
      </c>
      <c r="M34" s="24" t="str">
        <f t="shared" si="5"/>
        <v>CLEAN</v>
      </c>
    </row>
    <row r="35" spans="1:13" ht="15" customHeight="1" x14ac:dyDescent="0.35">
      <c r="A35" s="1" t="s">
        <v>76</v>
      </c>
      <c r="B35" s="2" t="s">
        <v>77</v>
      </c>
      <c r="C35" s="1" t="s">
        <v>68</v>
      </c>
      <c r="D35" s="1" t="s">
        <v>63</v>
      </c>
      <c r="E35" s="24" t="s">
        <v>19</v>
      </c>
      <c r="F35" s="1" t="s">
        <v>93</v>
      </c>
      <c r="G35" s="1" t="s">
        <v>153</v>
      </c>
      <c r="H35" s="3">
        <f t="shared" si="7"/>
        <v>10</v>
      </c>
      <c r="I35" s="24" t="str">
        <f t="shared" si="0"/>
        <v>Late</v>
      </c>
      <c r="J35" s="1" t="str">
        <f t="shared" si="1"/>
        <v>Full Day</v>
      </c>
      <c r="K35" s="1" t="str">
        <f t="shared" si="2"/>
        <v>Full Day</v>
      </c>
      <c r="L35" s="1" t="str">
        <f t="shared" si="3"/>
        <v>✓ Match</v>
      </c>
      <c r="M35" s="24" t="str">
        <f t="shared" si="5"/>
        <v>CLEAN</v>
      </c>
    </row>
    <row r="36" spans="1:13" ht="15" customHeight="1" x14ac:dyDescent="0.35">
      <c r="A36" s="1" t="s">
        <v>134</v>
      </c>
      <c r="B36" s="2" t="s">
        <v>135</v>
      </c>
      <c r="C36" s="1" t="s">
        <v>68</v>
      </c>
      <c r="D36" s="1" t="s">
        <v>63</v>
      </c>
      <c r="E36" s="24" t="s">
        <v>19</v>
      </c>
      <c r="F36" s="1" t="s">
        <v>75</v>
      </c>
      <c r="G36" s="1" t="s">
        <v>144</v>
      </c>
      <c r="H36" s="3">
        <f t="shared" si="7"/>
        <v>8.25</v>
      </c>
      <c r="I36" s="24" t="str">
        <f t="shared" si="0"/>
        <v>On Time</v>
      </c>
      <c r="J36" s="1" t="str">
        <f t="shared" si="1"/>
        <v>Full Day</v>
      </c>
      <c r="K36" s="1" t="str">
        <f t="shared" si="2"/>
        <v>Full Day</v>
      </c>
      <c r="L36" s="1" t="str">
        <f t="shared" si="3"/>
        <v>✓ Match</v>
      </c>
      <c r="M36" s="24" t="str">
        <f t="shared" ref="M36:M66" si="8">IF(AND(J36=K36,OR(E36="Present",E36="Work From Home",E36="Absent")),"CLEAN","REVIEW")</f>
        <v>CLEAN</v>
      </c>
    </row>
    <row r="37" spans="1:13" ht="15" customHeight="1" x14ac:dyDescent="0.35">
      <c r="A37" s="1" t="s">
        <v>120</v>
      </c>
      <c r="B37" s="2" t="s">
        <v>121</v>
      </c>
      <c r="C37" s="1" t="s">
        <v>11</v>
      </c>
      <c r="D37" s="1" t="s">
        <v>63</v>
      </c>
      <c r="E37" s="24" t="s">
        <v>19</v>
      </c>
      <c r="F37" s="1" t="s">
        <v>128</v>
      </c>
      <c r="G37" s="1" t="s">
        <v>115</v>
      </c>
      <c r="H37" s="3">
        <f t="shared" si="7"/>
        <v>6.5</v>
      </c>
      <c r="I37" s="24" t="str">
        <f t="shared" si="0"/>
        <v>Late</v>
      </c>
      <c r="J37" s="1" t="str">
        <f t="shared" si="1"/>
        <v>Half Day</v>
      </c>
      <c r="K37" s="1" t="str">
        <f t="shared" si="2"/>
        <v>Half Day</v>
      </c>
      <c r="L37" s="1" t="str">
        <f t="shared" si="3"/>
        <v>✓ Match</v>
      </c>
      <c r="M37" s="24" t="str">
        <f t="shared" si="8"/>
        <v>CLEAN</v>
      </c>
    </row>
    <row r="38" spans="1:13" ht="15" customHeight="1" x14ac:dyDescent="0.35">
      <c r="A38" s="1" t="s">
        <v>91</v>
      </c>
      <c r="B38" s="2" t="s">
        <v>92</v>
      </c>
      <c r="C38" s="1" t="s">
        <v>18</v>
      </c>
      <c r="D38" s="1" t="s">
        <v>63</v>
      </c>
      <c r="E38" s="24" t="s">
        <v>19</v>
      </c>
      <c r="F38" s="1" t="s">
        <v>122</v>
      </c>
      <c r="G38" s="1" t="s">
        <v>115</v>
      </c>
      <c r="H38" s="3">
        <f t="shared" si="7"/>
        <v>6.6666666666666661</v>
      </c>
      <c r="I38" s="24" t="str">
        <f t="shared" si="0"/>
        <v>Late</v>
      </c>
      <c r="J38" s="1" t="str">
        <f t="shared" si="1"/>
        <v>Half Day</v>
      </c>
      <c r="K38" s="1" t="str">
        <f t="shared" si="2"/>
        <v>Half Day</v>
      </c>
      <c r="L38" s="1" t="str">
        <f t="shared" si="3"/>
        <v>✓ Match</v>
      </c>
      <c r="M38" s="24" t="str">
        <f t="shared" si="8"/>
        <v>CLEAN</v>
      </c>
    </row>
    <row r="39" spans="1:13" ht="15" customHeight="1" x14ac:dyDescent="0.35">
      <c r="A39" s="1" t="s">
        <v>16</v>
      </c>
      <c r="B39" s="2" t="s">
        <v>17</v>
      </c>
      <c r="C39" s="1" t="s">
        <v>18</v>
      </c>
      <c r="D39" s="1" t="s">
        <v>63</v>
      </c>
      <c r="E39" s="24" t="s">
        <v>19</v>
      </c>
      <c r="F39" s="1" t="s">
        <v>100</v>
      </c>
      <c r="G39" s="1" t="s">
        <v>44</v>
      </c>
      <c r="H39" s="3">
        <f t="shared" si="7"/>
        <v>10.500000000000002</v>
      </c>
      <c r="I39" s="24" t="str">
        <f t="shared" si="0"/>
        <v>On Time</v>
      </c>
      <c r="J39" s="1" t="str">
        <f t="shared" si="1"/>
        <v>Full Day</v>
      </c>
      <c r="K39" s="1" t="str">
        <f t="shared" si="2"/>
        <v>Full Day</v>
      </c>
      <c r="L39" s="1" t="str">
        <f t="shared" si="3"/>
        <v>✓ Match</v>
      </c>
      <c r="M39" s="24" t="str">
        <f t="shared" si="8"/>
        <v>CLEAN</v>
      </c>
    </row>
    <row r="40" spans="1:13" ht="15" customHeight="1" x14ac:dyDescent="0.35">
      <c r="A40" s="1" t="s">
        <v>150</v>
      </c>
      <c r="B40" s="2" t="s">
        <v>151</v>
      </c>
      <c r="C40" s="1" t="s">
        <v>68</v>
      </c>
      <c r="D40" s="1" t="s">
        <v>63</v>
      </c>
      <c r="E40" s="24" t="s">
        <v>13</v>
      </c>
      <c r="F40" s="1" t="s">
        <v>14</v>
      </c>
      <c r="G40" s="1" t="s">
        <v>15</v>
      </c>
      <c r="H40" s="3">
        <v>0</v>
      </c>
      <c r="I40" s="24" t="str">
        <f t="shared" si="0"/>
        <v/>
      </c>
      <c r="J40" s="1" t="str">
        <f t="shared" si="1"/>
        <v>Absent</v>
      </c>
      <c r="K40" s="1" t="str">
        <f t="shared" si="2"/>
        <v>N/A</v>
      </c>
      <c r="L40" s="1" t="str">
        <f t="shared" si="3"/>
        <v>⚠ Mismatch</v>
      </c>
      <c r="M40" s="24" t="str">
        <f t="shared" si="8"/>
        <v>REVIEW</v>
      </c>
    </row>
    <row r="41" spans="1:13" ht="15" customHeight="1" x14ac:dyDescent="0.35">
      <c r="A41" s="1" t="s">
        <v>98</v>
      </c>
      <c r="B41" s="2" t="s">
        <v>99</v>
      </c>
      <c r="C41" s="1" t="s">
        <v>18</v>
      </c>
      <c r="D41" s="1" t="s">
        <v>63</v>
      </c>
      <c r="E41" s="24" t="s">
        <v>19</v>
      </c>
      <c r="F41" s="1" t="s">
        <v>43</v>
      </c>
      <c r="G41" s="1" t="s">
        <v>78</v>
      </c>
      <c r="H41" s="3">
        <f t="shared" ref="H41:H47" si="9">IFERROR(MOD(TIMEVALUE(G41)-TIMEVALUE(F41),1)*24,0)</f>
        <v>9.25</v>
      </c>
      <c r="I41" s="24" t="str">
        <f t="shared" si="0"/>
        <v>On Time</v>
      </c>
      <c r="J41" s="1" t="str">
        <f t="shared" si="1"/>
        <v>Full Day</v>
      </c>
      <c r="K41" s="1" t="str">
        <f t="shared" si="2"/>
        <v>Full Day</v>
      </c>
      <c r="L41" s="1" t="str">
        <f t="shared" si="3"/>
        <v>✓ Match</v>
      </c>
      <c r="M41" s="24" t="str">
        <f t="shared" si="8"/>
        <v>CLEAN</v>
      </c>
    </row>
    <row r="42" spans="1:13" ht="15" customHeight="1" x14ac:dyDescent="0.35">
      <c r="A42" s="1" t="s">
        <v>28</v>
      </c>
      <c r="B42" s="2" t="s">
        <v>29</v>
      </c>
      <c r="C42" s="1" t="s">
        <v>30</v>
      </c>
      <c r="D42" s="1" t="s">
        <v>63</v>
      </c>
      <c r="E42" s="24" t="s">
        <v>19</v>
      </c>
      <c r="F42" s="1" t="s">
        <v>20</v>
      </c>
      <c r="G42" s="1" t="s">
        <v>35</v>
      </c>
      <c r="H42" s="3">
        <f t="shared" si="9"/>
        <v>10.416666666666668</v>
      </c>
      <c r="I42" s="24" t="str">
        <f t="shared" si="0"/>
        <v>On Time</v>
      </c>
      <c r="J42" s="1" t="str">
        <f t="shared" si="1"/>
        <v>Full Day</v>
      </c>
      <c r="K42" s="1" t="str">
        <f t="shared" si="2"/>
        <v>Full Day</v>
      </c>
      <c r="L42" s="1" t="str">
        <f t="shared" si="3"/>
        <v>✓ Match</v>
      </c>
      <c r="M42" s="24" t="str">
        <f t="shared" si="8"/>
        <v>CLEAN</v>
      </c>
    </row>
    <row r="43" spans="1:13" ht="15" customHeight="1" x14ac:dyDescent="0.35">
      <c r="A43" s="1" t="s">
        <v>53</v>
      </c>
      <c r="B43" s="2" t="s">
        <v>54</v>
      </c>
      <c r="C43" s="1" t="s">
        <v>18</v>
      </c>
      <c r="D43" s="1" t="s">
        <v>63</v>
      </c>
      <c r="E43" s="24" t="s">
        <v>19</v>
      </c>
      <c r="F43" s="1" t="s">
        <v>32</v>
      </c>
      <c r="G43" s="1" t="s">
        <v>155</v>
      </c>
      <c r="H43" s="3">
        <f t="shared" si="9"/>
        <v>9.0000000000000018</v>
      </c>
      <c r="I43" s="24" t="str">
        <f t="shared" si="0"/>
        <v>On Time</v>
      </c>
      <c r="J43" s="1" t="str">
        <f t="shared" si="1"/>
        <v>Full Day</v>
      </c>
      <c r="K43" s="1" t="str">
        <f t="shared" si="2"/>
        <v>Full Day</v>
      </c>
      <c r="L43" s="1" t="str">
        <f t="shared" si="3"/>
        <v>✓ Match</v>
      </c>
      <c r="M43" s="24" t="str">
        <f t="shared" si="8"/>
        <v>CLEAN</v>
      </c>
    </row>
    <row r="44" spans="1:13" ht="15" customHeight="1" x14ac:dyDescent="0.35">
      <c r="A44" s="1" t="s">
        <v>130</v>
      </c>
      <c r="B44" s="2" t="s">
        <v>131</v>
      </c>
      <c r="C44" s="1" t="s">
        <v>11</v>
      </c>
      <c r="D44" s="1" t="s">
        <v>63</v>
      </c>
      <c r="E44" s="24" t="s">
        <v>19</v>
      </c>
      <c r="F44" s="1" t="s">
        <v>64</v>
      </c>
      <c r="G44" s="1" t="s">
        <v>119</v>
      </c>
      <c r="H44" s="3">
        <f t="shared" si="9"/>
        <v>6.9166666666666661</v>
      </c>
      <c r="I44" s="24" t="str">
        <f t="shared" si="0"/>
        <v>On Time</v>
      </c>
      <c r="J44" s="1" t="str">
        <f t="shared" si="1"/>
        <v>Half Day</v>
      </c>
      <c r="K44" s="1" t="str">
        <f t="shared" si="2"/>
        <v>Half Day</v>
      </c>
      <c r="L44" s="1" t="str">
        <f t="shared" si="3"/>
        <v>✓ Match</v>
      </c>
      <c r="M44" s="24" t="str">
        <f t="shared" si="8"/>
        <v>CLEAN</v>
      </c>
    </row>
    <row r="45" spans="1:13" ht="15" customHeight="1" x14ac:dyDescent="0.35">
      <c r="A45" s="1" t="s">
        <v>22</v>
      </c>
      <c r="B45" s="2" t="s">
        <v>23</v>
      </c>
      <c r="C45" s="1" t="s">
        <v>24</v>
      </c>
      <c r="D45" s="1" t="s">
        <v>63</v>
      </c>
      <c r="E45" s="24" t="s">
        <v>19</v>
      </c>
      <c r="F45" s="1" t="s">
        <v>84</v>
      </c>
      <c r="G45" s="1" t="s">
        <v>50</v>
      </c>
      <c r="H45" s="3">
        <f t="shared" si="9"/>
        <v>7.75</v>
      </c>
      <c r="I45" s="24" t="str">
        <f t="shared" si="0"/>
        <v>Late</v>
      </c>
      <c r="J45" s="1" t="str">
        <f t="shared" si="1"/>
        <v>Half Day</v>
      </c>
      <c r="K45" s="1" t="str">
        <f t="shared" si="2"/>
        <v>Half Day</v>
      </c>
      <c r="L45" s="1" t="str">
        <f t="shared" si="3"/>
        <v>✓ Match</v>
      </c>
      <c r="M45" s="24" t="str">
        <f t="shared" si="8"/>
        <v>CLEAN</v>
      </c>
    </row>
    <row r="46" spans="1:13" ht="15" customHeight="1" x14ac:dyDescent="0.35">
      <c r="A46" s="1" t="s">
        <v>124</v>
      </c>
      <c r="B46" s="2" t="s">
        <v>125</v>
      </c>
      <c r="C46" s="1" t="s">
        <v>68</v>
      </c>
      <c r="D46" s="1" t="s">
        <v>63</v>
      </c>
      <c r="E46" s="24" t="s">
        <v>37</v>
      </c>
      <c r="F46" s="1" t="s">
        <v>104</v>
      </c>
      <c r="G46" s="1" t="s">
        <v>123</v>
      </c>
      <c r="H46" s="3">
        <f t="shared" si="9"/>
        <v>10</v>
      </c>
      <c r="I46" s="24" t="str">
        <f t="shared" si="0"/>
        <v>Late</v>
      </c>
      <c r="J46" s="1" t="str">
        <f t="shared" si="1"/>
        <v>Full Day</v>
      </c>
      <c r="K46" s="1" t="str">
        <f t="shared" si="2"/>
        <v>Full Day</v>
      </c>
      <c r="L46" s="1" t="str">
        <f t="shared" si="3"/>
        <v>✓ Match</v>
      </c>
      <c r="M46" s="24" t="str">
        <f t="shared" si="8"/>
        <v>CLEAN</v>
      </c>
    </row>
    <row r="47" spans="1:13" ht="15" customHeight="1" x14ac:dyDescent="0.35">
      <c r="A47" s="1" t="s">
        <v>9</v>
      </c>
      <c r="B47" s="2" t="s">
        <v>10</v>
      </c>
      <c r="C47" s="1" t="s">
        <v>11</v>
      </c>
      <c r="D47" s="1" t="s">
        <v>63</v>
      </c>
      <c r="E47" s="24" t="s">
        <v>19</v>
      </c>
      <c r="F47" s="1" t="s">
        <v>89</v>
      </c>
      <c r="G47" s="1" t="s">
        <v>78</v>
      </c>
      <c r="H47" s="3">
        <f t="shared" si="9"/>
        <v>7.75</v>
      </c>
      <c r="I47" s="24" t="str">
        <f t="shared" si="0"/>
        <v>Late</v>
      </c>
      <c r="J47" s="1" t="str">
        <f t="shared" si="1"/>
        <v>Half Day</v>
      </c>
      <c r="K47" s="1" t="str">
        <f t="shared" si="2"/>
        <v>Half Day</v>
      </c>
      <c r="L47" s="1" t="str">
        <f t="shared" si="3"/>
        <v>✓ Match</v>
      </c>
      <c r="M47" s="24" t="str">
        <f t="shared" si="8"/>
        <v>CLEAN</v>
      </c>
    </row>
    <row r="48" spans="1:13" ht="15" customHeight="1" x14ac:dyDescent="0.35">
      <c r="A48" s="1" t="s">
        <v>82</v>
      </c>
      <c r="B48" s="2" t="s">
        <v>83</v>
      </c>
      <c r="C48" s="1" t="s">
        <v>68</v>
      </c>
      <c r="D48" s="1" t="s">
        <v>63</v>
      </c>
      <c r="E48" s="24" t="s">
        <v>13</v>
      </c>
      <c r="F48" s="1" t="s">
        <v>14</v>
      </c>
      <c r="G48" s="1" t="s">
        <v>15</v>
      </c>
      <c r="H48" s="3">
        <v>0</v>
      </c>
      <c r="I48" s="24" t="str">
        <f t="shared" si="0"/>
        <v/>
      </c>
      <c r="J48" s="1" t="str">
        <f t="shared" si="1"/>
        <v>Absent</v>
      </c>
      <c r="K48" s="1" t="str">
        <f t="shared" si="2"/>
        <v>N/A</v>
      </c>
      <c r="L48" s="1" t="str">
        <f t="shared" si="3"/>
        <v>⚠ Mismatch</v>
      </c>
      <c r="M48" s="24" t="str">
        <f t="shared" si="8"/>
        <v>REVIEW</v>
      </c>
    </row>
    <row r="49" spans="1:13" ht="15" customHeight="1" x14ac:dyDescent="0.35">
      <c r="A49" s="1" t="s">
        <v>95</v>
      </c>
      <c r="B49" s="2" t="s">
        <v>96</v>
      </c>
      <c r="C49" s="1" t="s">
        <v>68</v>
      </c>
      <c r="D49" s="1" t="s">
        <v>63</v>
      </c>
      <c r="E49" s="24" t="s">
        <v>19</v>
      </c>
      <c r="F49" s="1" t="s">
        <v>70</v>
      </c>
      <c r="G49" s="1" t="s">
        <v>71</v>
      </c>
      <c r="H49" s="3">
        <f>IFERROR(MOD(TIMEVALUE(G49)-TIMEVALUE(F49),1)*24,0)</f>
        <v>8.9999999999999982</v>
      </c>
      <c r="I49" s="24" t="str">
        <f t="shared" si="0"/>
        <v>Late</v>
      </c>
      <c r="J49" s="1" t="str">
        <f t="shared" si="1"/>
        <v>Full Day</v>
      </c>
      <c r="K49" s="1" t="str">
        <f t="shared" si="2"/>
        <v>Full Day</v>
      </c>
      <c r="L49" s="1" t="str">
        <f t="shared" si="3"/>
        <v>✓ Match</v>
      </c>
      <c r="M49" s="24" t="str">
        <f t="shared" si="8"/>
        <v>CLEAN</v>
      </c>
    </row>
    <row r="50" spans="1:13" ht="15" customHeight="1" x14ac:dyDescent="0.35">
      <c r="A50" s="1" t="s">
        <v>105</v>
      </c>
      <c r="B50" s="2" t="s">
        <v>106</v>
      </c>
      <c r="C50" s="1" t="s">
        <v>11</v>
      </c>
      <c r="D50" s="1" t="s">
        <v>63</v>
      </c>
      <c r="E50" s="24" t="s">
        <v>19</v>
      </c>
      <c r="F50" s="1" t="s">
        <v>84</v>
      </c>
      <c r="G50" s="1" t="s">
        <v>141</v>
      </c>
      <c r="H50" s="3">
        <f>IFERROR(MOD(TIMEVALUE(G50)-TIMEVALUE(F50),1)*24,0)</f>
        <v>10.08333333333333</v>
      </c>
      <c r="I50" s="24" t="str">
        <f t="shared" si="0"/>
        <v>Late</v>
      </c>
      <c r="J50" s="1" t="str">
        <f t="shared" si="1"/>
        <v>Full Day</v>
      </c>
      <c r="K50" s="1" t="str">
        <f t="shared" si="2"/>
        <v>Full Day</v>
      </c>
      <c r="L50" s="1" t="str">
        <f t="shared" si="3"/>
        <v>✓ Match</v>
      </c>
      <c r="M50" s="24" t="str">
        <f t="shared" si="8"/>
        <v>CLEAN</v>
      </c>
    </row>
    <row r="51" spans="1:13" ht="15" customHeight="1" x14ac:dyDescent="0.35">
      <c r="A51" s="1" t="s">
        <v>40</v>
      </c>
      <c r="B51" s="2" t="s">
        <v>41</v>
      </c>
      <c r="C51" s="1" t="s">
        <v>24</v>
      </c>
      <c r="D51" s="1" t="s">
        <v>63</v>
      </c>
      <c r="E51" s="24" t="s">
        <v>19</v>
      </c>
      <c r="F51" s="1" t="s">
        <v>100</v>
      </c>
      <c r="G51" s="1" t="s">
        <v>50</v>
      </c>
      <c r="H51" s="3">
        <f>IFERROR(MOD(TIMEVALUE(G51)-TIMEVALUE(F51),1)*24,0)</f>
        <v>9.0000000000000018</v>
      </c>
      <c r="I51" s="24" t="str">
        <f t="shared" si="0"/>
        <v>On Time</v>
      </c>
      <c r="J51" s="1" t="str">
        <f t="shared" si="1"/>
        <v>Full Day</v>
      </c>
      <c r="K51" s="1" t="str">
        <f t="shared" si="2"/>
        <v>Full Day</v>
      </c>
      <c r="L51" s="1" t="str">
        <f t="shared" si="3"/>
        <v>✓ Match</v>
      </c>
      <c r="M51" s="24" t="str">
        <f t="shared" si="8"/>
        <v>CLEAN</v>
      </c>
    </row>
    <row r="52" spans="1:13" ht="15" customHeight="1" x14ac:dyDescent="0.35">
      <c r="A52" s="1" t="s">
        <v>72</v>
      </c>
      <c r="B52" s="2" t="s">
        <v>73</v>
      </c>
      <c r="C52" s="1" t="s">
        <v>68</v>
      </c>
      <c r="D52" s="1" t="s">
        <v>63</v>
      </c>
      <c r="E52" s="24" t="s">
        <v>19</v>
      </c>
      <c r="F52" s="1" t="s">
        <v>137</v>
      </c>
      <c r="G52" s="1" t="s">
        <v>27</v>
      </c>
      <c r="H52" s="3">
        <f>IFERROR(MOD(TIMEVALUE(G52)-TIMEVALUE(F52),1)*24,0)</f>
        <v>11.666666666666666</v>
      </c>
      <c r="I52" s="24" t="str">
        <f t="shared" si="0"/>
        <v>Late</v>
      </c>
      <c r="J52" s="1" t="str">
        <f t="shared" si="1"/>
        <v>Full Day</v>
      </c>
      <c r="K52" s="1" t="str">
        <f t="shared" si="2"/>
        <v>Full Day</v>
      </c>
      <c r="L52" s="1" t="str">
        <f t="shared" si="3"/>
        <v>✓ Match</v>
      </c>
      <c r="M52" s="24" t="str">
        <f t="shared" si="8"/>
        <v>CLEAN</v>
      </c>
    </row>
    <row r="53" spans="1:13" ht="15" customHeight="1" x14ac:dyDescent="0.35">
      <c r="A53" s="1" t="s">
        <v>117</v>
      </c>
      <c r="B53" s="2" t="s">
        <v>118</v>
      </c>
      <c r="C53" s="1" t="s">
        <v>30</v>
      </c>
      <c r="D53" s="1" t="s">
        <v>63</v>
      </c>
      <c r="E53" s="24" t="s">
        <v>19</v>
      </c>
      <c r="F53" s="1" t="s">
        <v>138</v>
      </c>
      <c r="G53" s="1" t="s">
        <v>21</v>
      </c>
      <c r="H53" s="3">
        <f>IFERROR(MOD(TIMEVALUE(G53)-TIMEVALUE(F53),1)*24,0)</f>
        <v>10.333333333333334</v>
      </c>
      <c r="I53" s="24" t="str">
        <f t="shared" si="0"/>
        <v>Late</v>
      </c>
      <c r="J53" s="1" t="str">
        <f t="shared" si="1"/>
        <v>Full Day</v>
      </c>
      <c r="K53" s="1" t="str">
        <f t="shared" si="2"/>
        <v>Full Day</v>
      </c>
      <c r="L53" s="1" t="str">
        <f t="shared" si="3"/>
        <v>✓ Match</v>
      </c>
      <c r="M53" s="24" t="str">
        <f t="shared" si="8"/>
        <v>CLEAN</v>
      </c>
    </row>
    <row r="54" spans="1:13" ht="15" customHeight="1" x14ac:dyDescent="0.35">
      <c r="A54" s="1" t="s">
        <v>101</v>
      </c>
      <c r="B54" s="2" t="s">
        <v>102</v>
      </c>
      <c r="C54" s="1" t="s">
        <v>30</v>
      </c>
      <c r="D54" s="1" t="s">
        <v>63</v>
      </c>
      <c r="E54" s="24" t="s">
        <v>13</v>
      </c>
      <c r="F54" s="1" t="s">
        <v>14</v>
      </c>
      <c r="G54" s="1" t="s">
        <v>15</v>
      </c>
      <c r="H54" s="3">
        <v>0</v>
      </c>
      <c r="I54" s="24" t="str">
        <f t="shared" si="0"/>
        <v/>
      </c>
      <c r="J54" s="1" t="str">
        <f t="shared" si="1"/>
        <v>Absent</v>
      </c>
      <c r="K54" s="1" t="str">
        <f t="shared" si="2"/>
        <v>N/A</v>
      </c>
      <c r="L54" s="1" t="str">
        <f t="shared" si="3"/>
        <v>⚠ Mismatch</v>
      </c>
      <c r="M54" s="24" t="str">
        <f t="shared" si="8"/>
        <v>REVIEW</v>
      </c>
    </row>
    <row r="55" spans="1:13" ht="15" customHeight="1" x14ac:dyDescent="0.35">
      <c r="A55" s="1" t="s">
        <v>57</v>
      </c>
      <c r="B55" s="2" t="s">
        <v>58</v>
      </c>
      <c r="C55" s="1" t="s">
        <v>30</v>
      </c>
      <c r="D55" s="1" t="s">
        <v>63</v>
      </c>
      <c r="E55" s="24" t="s">
        <v>37</v>
      </c>
      <c r="F55" s="1" t="s">
        <v>89</v>
      </c>
      <c r="G55" s="1" t="s">
        <v>97</v>
      </c>
      <c r="H55" s="3">
        <f>IFERROR(MOD(TIMEVALUE(G55)-TIMEVALUE(F55),1)*24,0)</f>
        <v>10.25</v>
      </c>
      <c r="I55" s="24" t="str">
        <f t="shared" si="0"/>
        <v>Late</v>
      </c>
      <c r="J55" s="1" t="str">
        <f t="shared" si="1"/>
        <v>Full Day</v>
      </c>
      <c r="K55" s="1" t="str">
        <f t="shared" si="2"/>
        <v>Full Day</v>
      </c>
      <c r="L55" s="1" t="str">
        <f t="shared" si="3"/>
        <v>✓ Match</v>
      </c>
      <c r="M55" s="24" t="str">
        <f t="shared" si="8"/>
        <v>CLEAN</v>
      </c>
    </row>
    <row r="56" spans="1:13" ht="15" customHeight="1" x14ac:dyDescent="0.35">
      <c r="A56" s="1" t="s">
        <v>110</v>
      </c>
      <c r="B56" s="2" t="s">
        <v>111</v>
      </c>
      <c r="C56" s="1" t="s">
        <v>68</v>
      </c>
      <c r="D56" s="1" t="s">
        <v>63</v>
      </c>
      <c r="E56" s="24" t="s">
        <v>13</v>
      </c>
      <c r="F56" s="1" t="s">
        <v>14</v>
      </c>
      <c r="G56" s="1" t="s">
        <v>15</v>
      </c>
      <c r="H56" s="3">
        <v>0</v>
      </c>
      <c r="I56" s="24" t="str">
        <f t="shared" si="0"/>
        <v/>
      </c>
      <c r="J56" s="1" t="str">
        <f t="shared" si="1"/>
        <v>Absent</v>
      </c>
      <c r="K56" s="1" t="str">
        <f t="shared" si="2"/>
        <v>N/A</v>
      </c>
      <c r="L56" s="1" t="str">
        <f t="shared" si="3"/>
        <v>⚠ Mismatch</v>
      </c>
      <c r="M56" s="24" t="str">
        <f t="shared" si="8"/>
        <v>REVIEW</v>
      </c>
    </row>
    <row r="57" spans="1:13" ht="15" customHeight="1" x14ac:dyDescent="0.35">
      <c r="A57" s="1" t="s">
        <v>47</v>
      </c>
      <c r="B57" s="2" t="s">
        <v>48</v>
      </c>
      <c r="C57" s="1" t="s">
        <v>18</v>
      </c>
      <c r="D57" s="1" t="s">
        <v>63</v>
      </c>
      <c r="E57" s="24" t="s">
        <v>19</v>
      </c>
      <c r="F57" s="1" t="s">
        <v>100</v>
      </c>
      <c r="G57" s="1" t="s">
        <v>50</v>
      </c>
      <c r="H57" s="3">
        <f t="shared" ref="H57:H66" si="10">IFERROR(MOD(TIMEVALUE(G57)-TIMEVALUE(F57),1)*24,0)</f>
        <v>9.0000000000000018</v>
      </c>
      <c r="I57" s="24" t="str">
        <f t="shared" si="0"/>
        <v>On Time</v>
      </c>
      <c r="J57" s="1" t="str">
        <f t="shared" si="1"/>
        <v>Full Day</v>
      </c>
      <c r="K57" s="1" t="str">
        <f t="shared" si="2"/>
        <v>Full Day</v>
      </c>
      <c r="L57" s="1" t="str">
        <f t="shared" si="3"/>
        <v>✓ Match</v>
      </c>
      <c r="M57" s="24" t="str">
        <f t="shared" si="8"/>
        <v>CLEAN</v>
      </c>
    </row>
    <row r="58" spans="1:13" ht="15" customHeight="1" x14ac:dyDescent="0.35">
      <c r="A58" s="1" t="s">
        <v>158</v>
      </c>
      <c r="B58" s="2" t="s">
        <v>159</v>
      </c>
      <c r="C58" s="1" t="s">
        <v>11</v>
      </c>
      <c r="D58" s="1" t="s">
        <v>63</v>
      </c>
      <c r="E58" s="24" t="s">
        <v>37</v>
      </c>
      <c r="F58" s="1" t="s">
        <v>89</v>
      </c>
      <c r="G58" s="1" t="s">
        <v>27</v>
      </c>
      <c r="H58" s="3">
        <f t="shared" si="10"/>
        <v>10.75</v>
      </c>
      <c r="I58" s="24" t="str">
        <f t="shared" si="0"/>
        <v>Late</v>
      </c>
      <c r="J58" s="1" t="str">
        <f t="shared" si="1"/>
        <v>Full Day</v>
      </c>
      <c r="K58" s="1" t="str">
        <f t="shared" si="2"/>
        <v>Full Day</v>
      </c>
      <c r="L58" s="1" t="str">
        <f t="shared" si="3"/>
        <v>✓ Match</v>
      </c>
      <c r="M58" s="24" t="str">
        <f t="shared" si="8"/>
        <v>CLEAN</v>
      </c>
    </row>
    <row r="59" spans="1:13" ht="15" customHeight="1" x14ac:dyDescent="0.35">
      <c r="A59" s="1" t="s">
        <v>66</v>
      </c>
      <c r="B59" s="2" t="s">
        <v>67</v>
      </c>
      <c r="C59" s="1" t="s">
        <v>68</v>
      </c>
      <c r="D59" s="1" t="s">
        <v>63</v>
      </c>
      <c r="E59" s="24" t="s">
        <v>19</v>
      </c>
      <c r="F59" s="1" t="s">
        <v>137</v>
      </c>
      <c r="G59" s="1" t="s">
        <v>35</v>
      </c>
      <c r="H59" s="3">
        <f t="shared" si="10"/>
        <v>10.083333333333334</v>
      </c>
      <c r="I59" s="24" t="str">
        <f t="shared" si="0"/>
        <v>Late</v>
      </c>
      <c r="J59" s="1" t="str">
        <f t="shared" si="1"/>
        <v>Full Day</v>
      </c>
      <c r="K59" s="1" t="str">
        <f t="shared" si="2"/>
        <v>Full Day</v>
      </c>
      <c r="L59" s="1" t="str">
        <f t="shared" si="3"/>
        <v>✓ Match</v>
      </c>
      <c r="M59" s="24" t="str">
        <f t="shared" si="8"/>
        <v>CLEAN</v>
      </c>
    </row>
    <row r="60" spans="1:13" ht="15" customHeight="1" x14ac:dyDescent="0.35">
      <c r="A60" s="1" t="s">
        <v>142</v>
      </c>
      <c r="B60" s="2" t="s">
        <v>143</v>
      </c>
      <c r="C60" s="1" t="s">
        <v>18</v>
      </c>
      <c r="D60" s="1" t="s">
        <v>63</v>
      </c>
      <c r="E60" s="24" t="s">
        <v>37</v>
      </c>
      <c r="F60" s="1" t="s">
        <v>26</v>
      </c>
      <c r="G60" s="1" t="s">
        <v>153</v>
      </c>
      <c r="H60" s="3">
        <f t="shared" si="10"/>
        <v>10.25</v>
      </c>
      <c r="I60" s="24" t="str">
        <f t="shared" si="0"/>
        <v>Late</v>
      </c>
      <c r="J60" s="1" t="str">
        <f t="shared" si="1"/>
        <v>Full Day</v>
      </c>
      <c r="K60" s="1" t="str">
        <f t="shared" si="2"/>
        <v>Full Day</v>
      </c>
      <c r="L60" s="1" t="str">
        <f t="shared" si="3"/>
        <v>✓ Match</v>
      </c>
      <c r="M60" s="24" t="str">
        <f t="shared" si="8"/>
        <v>CLEAN</v>
      </c>
    </row>
    <row r="61" spans="1:13" ht="15" customHeight="1" x14ac:dyDescent="0.35">
      <c r="A61" s="1" t="s">
        <v>112</v>
      </c>
      <c r="B61" s="2" t="s">
        <v>113</v>
      </c>
      <c r="C61" s="1" t="s">
        <v>30</v>
      </c>
      <c r="D61" s="1" t="s">
        <v>63</v>
      </c>
      <c r="E61" s="24" t="s">
        <v>19</v>
      </c>
      <c r="F61" s="1" t="s">
        <v>122</v>
      </c>
      <c r="G61" s="1" t="s">
        <v>109</v>
      </c>
      <c r="H61" s="3">
        <f t="shared" si="10"/>
        <v>7.9166666666666661</v>
      </c>
      <c r="I61" s="24" t="str">
        <f t="shared" si="0"/>
        <v>Late</v>
      </c>
      <c r="J61" s="1" t="str">
        <f t="shared" si="1"/>
        <v>Half Day</v>
      </c>
      <c r="K61" s="1" t="str">
        <f t="shared" si="2"/>
        <v>Half Day</v>
      </c>
      <c r="L61" s="1" t="str">
        <f t="shared" si="3"/>
        <v>✓ Match</v>
      </c>
      <c r="M61" s="24" t="str">
        <f t="shared" si="8"/>
        <v>CLEAN</v>
      </c>
    </row>
    <row r="62" spans="1:13" ht="15" customHeight="1" x14ac:dyDescent="0.35">
      <c r="A62" s="1" t="s">
        <v>45</v>
      </c>
      <c r="B62" s="2" t="s">
        <v>46</v>
      </c>
      <c r="C62" s="1" t="s">
        <v>18</v>
      </c>
      <c r="D62" s="1" t="s">
        <v>63</v>
      </c>
      <c r="E62" s="24" t="s">
        <v>19</v>
      </c>
      <c r="F62" s="1" t="s">
        <v>20</v>
      </c>
      <c r="G62" s="1" t="s">
        <v>146</v>
      </c>
      <c r="H62" s="3">
        <f t="shared" si="10"/>
        <v>6.4166666666666661</v>
      </c>
      <c r="I62" s="24" t="str">
        <f t="shared" si="0"/>
        <v>On Time</v>
      </c>
      <c r="J62" s="1" t="str">
        <f t="shared" si="1"/>
        <v>Half Day</v>
      </c>
      <c r="K62" s="1" t="str">
        <f t="shared" si="2"/>
        <v>Half Day</v>
      </c>
      <c r="L62" s="1" t="str">
        <f t="shared" si="3"/>
        <v>✓ Match</v>
      </c>
      <c r="M62" s="24" t="str">
        <f t="shared" si="8"/>
        <v>CLEAN</v>
      </c>
    </row>
    <row r="63" spans="1:13" ht="15" customHeight="1" x14ac:dyDescent="0.35">
      <c r="A63" s="1" t="s">
        <v>82</v>
      </c>
      <c r="B63" s="2" t="s">
        <v>83</v>
      </c>
      <c r="C63" s="1" t="s">
        <v>68</v>
      </c>
      <c r="D63" s="1" t="s">
        <v>86</v>
      </c>
      <c r="E63" s="24" t="s">
        <v>19</v>
      </c>
      <c r="F63" s="1" t="s">
        <v>87</v>
      </c>
      <c r="G63" s="1" t="s">
        <v>44</v>
      </c>
      <c r="H63" s="3">
        <f t="shared" si="10"/>
        <v>7.5000000000000018</v>
      </c>
      <c r="I63" s="24" t="str">
        <f t="shared" si="0"/>
        <v>Late</v>
      </c>
      <c r="J63" s="1" t="str">
        <f t="shared" si="1"/>
        <v>Half Day</v>
      </c>
      <c r="K63" s="1" t="str">
        <f t="shared" si="2"/>
        <v>Half Day</v>
      </c>
      <c r="L63" s="1" t="str">
        <f t="shared" si="3"/>
        <v>✓ Match</v>
      </c>
      <c r="M63" s="24" t="str">
        <f t="shared" si="8"/>
        <v>CLEAN</v>
      </c>
    </row>
    <row r="64" spans="1:13" ht="15" customHeight="1" x14ac:dyDescent="0.35">
      <c r="A64" s="1" t="s">
        <v>98</v>
      </c>
      <c r="B64" s="2" t="s">
        <v>99</v>
      </c>
      <c r="C64" s="1" t="s">
        <v>18</v>
      </c>
      <c r="D64" s="1" t="s">
        <v>86</v>
      </c>
      <c r="E64" s="24" t="s">
        <v>19</v>
      </c>
      <c r="F64" s="1" t="s">
        <v>100</v>
      </c>
      <c r="G64" s="1" t="s">
        <v>71</v>
      </c>
      <c r="H64" s="3">
        <f t="shared" si="10"/>
        <v>11.75</v>
      </c>
      <c r="I64" s="24" t="str">
        <f t="shared" si="0"/>
        <v>On Time</v>
      </c>
      <c r="J64" s="1" t="str">
        <f t="shared" si="1"/>
        <v>Full Day</v>
      </c>
      <c r="K64" s="1" t="str">
        <f t="shared" si="2"/>
        <v>Full Day</v>
      </c>
      <c r="L64" s="1" t="str">
        <f t="shared" si="3"/>
        <v>✓ Match</v>
      </c>
      <c r="M64" s="24" t="str">
        <f t="shared" si="8"/>
        <v>CLEAN</v>
      </c>
    </row>
    <row r="65" spans="1:13" ht="15" customHeight="1" x14ac:dyDescent="0.35">
      <c r="A65" s="1" t="s">
        <v>105</v>
      </c>
      <c r="B65" s="2" t="s">
        <v>106</v>
      </c>
      <c r="C65" s="1" t="s">
        <v>11</v>
      </c>
      <c r="D65" s="1" t="s">
        <v>86</v>
      </c>
      <c r="E65" s="24" t="s">
        <v>19</v>
      </c>
      <c r="F65" s="1" t="s">
        <v>89</v>
      </c>
      <c r="G65" s="1" t="s">
        <v>109</v>
      </c>
      <c r="H65" s="3">
        <f t="shared" si="10"/>
        <v>7.25</v>
      </c>
      <c r="I65" s="24" t="str">
        <f t="shared" si="0"/>
        <v>Late</v>
      </c>
      <c r="J65" s="1" t="str">
        <f t="shared" si="1"/>
        <v>Half Day</v>
      </c>
      <c r="K65" s="1" t="str">
        <f t="shared" si="2"/>
        <v>Half Day</v>
      </c>
      <c r="L65" s="1" t="str">
        <f t="shared" si="3"/>
        <v>✓ Match</v>
      </c>
      <c r="M65" s="24" t="str">
        <f t="shared" si="8"/>
        <v>CLEAN</v>
      </c>
    </row>
    <row r="66" spans="1:13" ht="15" customHeight="1" x14ac:dyDescent="0.35">
      <c r="A66" s="1" t="s">
        <v>110</v>
      </c>
      <c r="B66" s="2" t="s">
        <v>111</v>
      </c>
      <c r="C66" s="1" t="s">
        <v>68</v>
      </c>
      <c r="D66" s="1" t="s">
        <v>86</v>
      </c>
      <c r="E66" s="24" t="s">
        <v>19</v>
      </c>
      <c r="F66" s="1" t="s">
        <v>104</v>
      </c>
      <c r="G66" s="1" t="s">
        <v>90</v>
      </c>
      <c r="H66" s="3">
        <f t="shared" si="10"/>
        <v>9.8333333333333339</v>
      </c>
      <c r="I66" s="24" t="str">
        <f t="shared" si="0"/>
        <v>Late</v>
      </c>
      <c r="J66" s="1" t="str">
        <f t="shared" si="1"/>
        <v>Full Day</v>
      </c>
      <c r="K66" s="1" t="str">
        <f t="shared" si="2"/>
        <v>Full Day</v>
      </c>
      <c r="L66" s="1" t="str">
        <f t="shared" si="3"/>
        <v>✓ Match</v>
      </c>
      <c r="M66" s="24" t="str">
        <f t="shared" si="8"/>
        <v>CLEAN</v>
      </c>
    </row>
    <row r="67" spans="1:13" ht="15" customHeight="1" x14ac:dyDescent="0.35">
      <c r="A67" s="1" t="s">
        <v>101</v>
      </c>
      <c r="B67" s="2" t="s">
        <v>102</v>
      </c>
      <c r="C67" s="1" t="s">
        <v>30</v>
      </c>
      <c r="D67" s="1" t="s">
        <v>86</v>
      </c>
      <c r="E67" s="24" t="s">
        <v>13</v>
      </c>
      <c r="F67" s="1" t="s">
        <v>14</v>
      </c>
      <c r="G67" s="1" t="s">
        <v>15</v>
      </c>
      <c r="H67" s="3">
        <v>0</v>
      </c>
      <c r="I67" s="24" t="str">
        <f t="shared" ref="I67:I130" si="11">IF(F67="No Login","",IF(TIMEVALUE(F67)&gt;TIMEVALUE("09:00"),"Late","On Time"))</f>
        <v/>
      </c>
      <c r="J67" s="1" t="str">
        <f t="shared" ref="J67:J130" si="12">IF(E67="Absent","Absent",IF(H67&gt;=8,"Full Day",IF(H67&gt;=4,"Half Day","Short")))</f>
        <v>Absent</v>
      </c>
      <c r="K67" s="1" t="str">
        <f t="shared" ref="K67:K130" si="13">IF(E67="Absent","N/A",IF(H67&gt;=8,"Full Day",IF(H67&gt;=4,"Half Day","Short")))</f>
        <v>N/A</v>
      </c>
      <c r="L67" s="1" t="str">
        <f t="shared" ref="L67:L130" si="14">IF(J67=K67,"✓ Match","⚠ Mismatch")</f>
        <v>⚠ Mismatch</v>
      </c>
      <c r="M67" s="24" t="str">
        <f t="shared" ref="M67:M130" si="15">IF(AND(J67=K67,OR(E67="Present",E67="Work From Home",E67="Absent")),"CLEAN","REVIEW")</f>
        <v>REVIEW</v>
      </c>
    </row>
    <row r="68" spans="1:13" ht="15" customHeight="1" x14ac:dyDescent="0.35">
      <c r="A68" s="1" t="s">
        <v>9</v>
      </c>
      <c r="B68" s="2" t="s">
        <v>10</v>
      </c>
      <c r="C68" s="1" t="s">
        <v>11</v>
      </c>
      <c r="D68" s="1" t="s">
        <v>86</v>
      </c>
      <c r="E68" s="24" t="s">
        <v>19</v>
      </c>
      <c r="F68" s="1" t="s">
        <v>56</v>
      </c>
      <c r="G68" s="1" t="s">
        <v>156</v>
      </c>
      <c r="H68" s="3">
        <f t="shared" ref="H68:H78" si="16">IFERROR(MOD(TIMEVALUE(G68)-TIMEVALUE(F68),1)*24,0)</f>
        <v>7.25</v>
      </c>
      <c r="I68" s="24" t="str">
        <f t="shared" si="11"/>
        <v>Late</v>
      </c>
      <c r="J68" s="1" t="str">
        <f t="shared" si="12"/>
        <v>Half Day</v>
      </c>
      <c r="K68" s="1" t="str">
        <f t="shared" si="13"/>
        <v>Half Day</v>
      </c>
      <c r="L68" s="1" t="str">
        <f t="shared" si="14"/>
        <v>✓ Match</v>
      </c>
      <c r="M68" s="24" t="str">
        <f t="shared" si="15"/>
        <v>CLEAN</v>
      </c>
    </row>
    <row r="69" spans="1:13" ht="15" customHeight="1" x14ac:dyDescent="0.35">
      <c r="A69" s="1" t="s">
        <v>150</v>
      </c>
      <c r="B69" s="2" t="s">
        <v>151</v>
      </c>
      <c r="C69" s="1" t="s">
        <v>68</v>
      </c>
      <c r="D69" s="1" t="s">
        <v>86</v>
      </c>
      <c r="E69" s="24" t="s">
        <v>19</v>
      </c>
      <c r="F69" s="1" t="s">
        <v>43</v>
      </c>
      <c r="G69" s="1" t="s">
        <v>119</v>
      </c>
      <c r="H69" s="3">
        <f t="shared" si="16"/>
        <v>6.5</v>
      </c>
      <c r="I69" s="24" t="str">
        <f t="shared" si="11"/>
        <v>On Time</v>
      </c>
      <c r="J69" s="1" t="str">
        <f t="shared" si="12"/>
        <v>Half Day</v>
      </c>
      <c r="K69" s="1" t="str">
        <f t="shared" si="13"/>
        <v>Half Day</v>
      </c>
      <c r="L69" s="1" t="str">
        <f t="shared" si="14"/>
        <v>✓ Match</v>
      </c>
      <c r="M69" s="24" t="str">
        <f t="shared" si="15"/>
        <v>CLEAN</v>
      </c>
    </row>
    <row r="70" spans="1:13" ht="15" customHeight="1" x14ac:dyDescent="0.35">
      <c r="A70" s="1" t="s">
        <v>158</v>
      </c>
      <c r="B70" s="2" t="s">
        <v>159</v>
      </c>
      <c r="C70" s="1" t="s">
        <v>11</v>
      </c>
      <c r="D70" s="1" t="s">
        <v>86</v>
      </c>
      <c r="E70" s="24" t="s">
        <v>19</v>
      </c>
      <c r="F70" s="1" t="s">
        <v>89</v>
      </c>
      <c r="G70" s="1" t="s">
        <v>127</v>
      </c>
      <c r="H70" s="3">
        <f t="shared" si="16"/>
        <v>8.3333333333333321</v>
      </c>
      <c r="I70" s="24" t="str">
        <f t="shared" si="11"/>
        <v>Late</v>
      </c>
      <c r="J70" s="1" t="str">
        <f t="shared" si="12"/>
        <v>Full Day</v>
      </c>
      <c r="K70" s="1" t="str">
        <f t="shared" si="13"/>
        <v>Full Day</v>
      </c>
      <c r="L70" s="1" t="str">
        <f t="shared" si="14"/>
        <v>✓ Match</v>
      </c>
      <c r="M70" s="24" t="str">
        <f t="shared" si="15"/>
        <v>CLEAN</v>
      </c>
    </row>
    <row r="71" spans="1:13" ht="15" customHeight="1" x14ac:dyDescent="0.35">
      <c r="A71" s="1" t="s">
        <v>130</v>
      </c>
      <c r="B71" s="2" t="s">
        <v>131</v>
      </c>
      <c r="C71" s="1" t="s">
        <v>11</v>
      </c>
      <c r="D71" s="1" t="s">
        <v>86</v>
      </c>
      <c r="E71" s="24" t="s">
        <v>19</v>
      </c>
      <c r="F71" s="1" t="s">
        <v>34</v>
      </c>
      <c r="G71" s="1" t="s">
        <v>108</v>
      </c>
      <c r="H71" s="3">
        <f t="shared" si="16"/>
        <v>8.75</v>
      </c>
      <c r="I71" s="24" t="str">
        <f t="shared" si="11"/>
        <v>Late</v>
      </c>
      <c r="J71" s="1" t="str">
        <f t="shared" si="12"/>
        <v>Full Day</v>
      </c>
      <c r="K71" s="1" t="str">
        <f t="shared" si="13"/>
        <v>Full Day</v>
      </c>
      <c r="L71" s="1" t="str">
        <f t="shared" si="14"/>
        <v>✓ Match</v>
      </c>
      <c r="M71" s="24" t="str">
        <f t="shared" si="15"/>
        <v>CLEAN</v>
      </c>
    </row>
    <row r="72" spans="1:13" ht="15" customHeight="1" x14ac:dyDescent="0.35">
      <c r="A72" s="1" t="s">
        <v>16</v>
      </c>
      <c r="B72" s="2" t="s">
        <v>17</v>
      </c>
      <c r="C72" s="1" t="s">
        <v>18</v>
      </c>
      <c r="D72" s="1" t="s">
        <v>86</v>
      </c>
      <c r="E72" s="24" t="s">
        <v>19</v>
      </c>
      <c r="F72" s="1" t="s">
        <v>122</v>
      </c>
      <c r="G72" s="1" t="s">
        <v>147</v>
      </c>
      <c r="H72" s="3">
        <f t="shared" si="16"/>
        <v>8</v>
      </c>
      <c r="I72" s="24" t="str">
        <f t="shared" si="11"/>
        <v>Late</v>
      </c>
      <c r="J72" s="1" t="str">
        <f t="shared" si="12"/>
        <v>Full Day</v>
      </c>
      <c r="K72" s="1" t="str">
        <f t="shared" si="13"/>
        <v>Full Day</v>
      </c>
      <c r="L72" s="1" t="str">
        <f t="shared" si="14"/>
        <v>✓ Match</v>
      </c>
      <c r="M72" s="24" t="str">
        <f t="shared" si="15"/>
        <v>CLEAN</v>
      </c>
    </row>
    <row r="73" spans="1:13" ht="15" customHeight="1" x14ac:dyDescent="0.35">
      <c r="A73" s="1" t="s">
        <v>47</v>
      </c>
      <c r="B73" s="2" t="s">
        <v>48</v>
      </c>
      <c r="C73" s="1" t="s">
        <v>18</v>
      </c>
      <c r="D73" s="1" t="s">
        <v>86</v>
      </c>
      <c r="E73" s="24" t="s">
        <v>19</v>
      </c>
      <c r="F73" s="1" t="s">
        <v>20</v>
      </c>
      <c r="G73" s="1" t="s">
        <v>71</v>
      </c>
      <c r="H73" s="3">
        <f t="shared" si="16"/>
        <v>11</v>
      </c>
      <c r="I73" s="24" t="str">
        <f t="shared" si="11"/>
        <v>On Time</v>
      </c>
      <c r="J73" s="1" t="str">
        <f t="shared" si="12"/>
        <v>Full Day</v>
      </c>
      <c r="K73" s="1" t="str">
        <f t="shared" si="13"/>
        <v>Full Day</v>
      </c>
      <c r="L73" s="1" t="str">
        <f t="shared" si="14"/>
        <v>✓ Match</v>
      </c>
      <c r="M73" s="24" t="str">
        <f t="shared" si="15"/>
        <v>CLEAN</v>
      </c>
    </row>
    <row r="74" spans="1:13" ht="15" customHeight="1" x14ac:dyDescent="0.35">
      <c r="A74" s="1" t="s">
        <v>22</v>
      </c>
      <c r="B74" s="2" t="s">
        <v>23</v>
      </c>
      <c r="C74" s="1" t="s">
        <v>24</v>
      </c>
      <c r="D74" s="1" t="s">
        <v>86</v>
      </c>
      <c r="E74" s="24" t="s">
        <v>19</v>
      </c>
      <c r="F74" s="1" t="s">
        <v>70</v>
      </c>
      <c r="G74" s="1" t="s">
        <v>50</v>
      </c>
      <c r="H74" s="3">
        <f t="shared" si="16"/>
        <v>6.25</v>
      </c>
      <c r="I74" s="24" t="str">
        <f t="shared" si="11"/>
        <v>Late</v>
      </c>
      <c r="J74" s="1" t="str">
        <f t="shared" si="12"/>
        <v>Half Day</v>
      </c>
      <c r="K74" s="1" t="str">
        <f t="shared" si="13"/>
        <v>Half Day</v>
      </c>
      <c r="L74" s="1" t="str">
        <f t="shared" si="14"/>
        <v>✓ Match</v>
      </c>
      <c r="M74" s="24" t="str">
        <f t="shared" si="15"/>
        <v>CLEAN</v>
      </c>
    </row>
    <row r="75" spans="1:13" ht="15" customHeight="1" x14ac:dyDescent="0.35">
      <c r="A75" s="1" t="s">
        <v>57</v>
      </c>
      <c r="B75" s="2" t="s">
        <v>58</v>
      </c>
      <c r="C75" s="1" t="s">
        <v>30</v>
      </c>
      <c r="D75" s="1" t="s">
        <v>86</v>
      </c>
      <c r="E75" s="24" t="s">
        <v>19</v>
      </c>
      <c r="F75" s="1" t="s">
        <v>93</v>
      </c>
      <c r="G75" s="1" t="s">
        <v>65</v>
      </c>
      <c r="H75" s="3">
        <f t="shared" si="16"/>
        <v>7.6666666666666661</v>
      </c>
      <c r="I75" s="24" t="str">
        <f t="shared" si="11"/>
        <v>Late</v>
      </c>
      <c r="J75" s="1" t="str">
        <f t="shared" si="12"/>
        <v>Half Day</v>
      </c>
      <c r="K75" s="1" t="str">
        <f t="shared" si="13"/>
        <v>Half Day</v>
      </c>
      <c r="L75" s="1" t="str">
        <f t="shared" si="14"/>
        <v>✓ Match</v>
      </c>
      <c r="M75" s="24" t="str">
        <f t="shared" si="15"/>
        <v>CLEAN</v>
      </c>
    </row>
    <row r="76" spans="1:13" ht="15" customHeight="1" x14ac:dyDescent="0.35">
      <c r="A76" s="1" t="s">
        <v>61</v>
      </c>
      <c r="B76" s="2" t="s">
        <v>62</v>
      </c>
      <c r="C76" s="1" t="s">
        <v>11</v>
      </c>
      <c r="D76" s="1" t="s">
        <v>86</v>
      </c>
      <c r="E76" s="24" t="s">
        <v>19</v>
      </c>
      <c r="F76" s="1" t="s">
        <v>34</v>
      </c>
      <c r="G76" s="1" t="s">
        <v>27</v>
      </c>
      <c r="H76" s="3">
        <f t="shared" si="16"/>
        <v>9.0000000000000018</v>
      </c>
      <c r="I76" s="24" t="str">
        <f t="shared" si="11"/>
        <v>Late</v>
      </c>
      <c r="J76" s="1" t="str">
        <f t="shared" si="12"/>
        <v>Full Day</v>
      </c>
      <c r="K76" s="1" t="str">
        <f t="shared" si="13"/>
        <v>Full Day</v>
      </c>
      <c r="L76" s="1" t="str">
        <f t="shared" si="14"/>
        <v>✓ Match</v>
      </c>
      <c r="M76" s="24" t="str">
        <f t="shared" si="15"/>
        <v>CLEAN</v>
      </c>
    </row>
    <row r="77" spans="1:13" ht="15" customHeight="1" x14ac:dyDescent="0.35">
      <c r="A77" s="1" t="s">
        <v>72</v>
      </c>
      <c r="B77" s="2" t="s">
        <v>73</v>
      </c>
      <c r="C77" s="1" t="s">
        <v>68</v>
      </c>
      <c r="D77" s="1" t="s">
        <v>86</v>
      </c>
      <c r="E77" s="24" t="s">
        <v>19</v>
      </c>
      <c r="F77" s="1" t="s">
        <v>32</v>
      </c>
      <c r="G77" s="1" t="s">
        <v>161</v>
      </c>
      <c r="H77" s="3">
        <f t="shared" si="16"/>
        <v>10.000000000000004</v>
      </c>
      <c r="I77" s="24" t="str">
        <f t="shared" si="11"/>
        <v>On Time</v>
      </c>
      <c r="J77" s="1" t="str">
        <f t="shared" si="12"/>
        <v>Full Day</v>
      </c>
      <c r="K77" s="1" t="str">
        <f t="shared" si="13"/>
        <v>Full Day</v>
      </c>
      <c r="L77" s="1" t="str">
        <f t="shared" si="14"/>
        <v>✓ Match</v>
      </c>
      <c r="M77" s="24" t="str">
        <f t="shared" si="15"/>
        <v>CLEAN</v>
      </c>
    </row>
    <row r="78" spans="1:13" ht="15" customHeight="1" x14ac:dyDescent="0.35">
      <c r="A78" s="1" t="s">
        <v>142</v>
      </c>
      <c r="B78" s="2" t="s">
        <v>143</v>
      </c>
      <c r="C78" s="1" t="s">
        <v>18</v>
      </c>
      <c r="D78" s="1" t="s">
        <v>86</v>
      </c>
      <c r="E78" s="24" t="s">
        <v>19</v>
      </c>
      <c r="F78" s="1" t="s">
        <v>100</v>
      </c>
      <c r="G78" s="1" t="s">
        <v>156</v>
      </c>
      <c r="H78" s="3">
        <f t="shared" si="16"/>
        <v>9.5</v>
      </c>
      <c r="I78" s="24" t="str">
        <f t="shared" si="11"/>
        <v>On Time</v>
      </c>
      <c r="J78" s="1" t="str">
        <f t="shared" si="12"/>
        <v>Full Day</v>
      </c>
      <c r="K78" s="1" t="str">
        <f t="shared" si="13"/>
        <v>Full Day</v>
      </c>
      <c r="L78" s="1" t="str">
        <f t="shared" si="14"/>
        <v>✓ Match</v>
      </c>
      <c r="M78" s="24" t="str">
        <f t="shared" si="15"/>
        <v>CLEAN</v>
      </c>
    </row>
    <row r="79" spans="1:13" ht="15" customHeight="1" x14ac:dyDescent="0.35">
      <c r="A79" s="1" t="s">
        <v>124</v>
      </c>
      <c r="B79" s="2" t="s">
        <v>125</v>
      </c>
      <c r="C79" s="1" t="s">
        <v>68</v>
      </c>
      <c r="D79" s="1" t="s">
        <v>86</v>
      </c>
      <c r="E79" s="24" t="s">
        <v>13</v>
      </c>
      <c r="F79" s="1" t="s">
        <v>14</v>
      </c>
      <c r="G79" s="1" t="s">
        <v>15</v>
      </c>
      <c r="H79" s="3">
        <v>0</v>
      </c>
      <c r="I79" s="24" t="str">
        <f t="shared" si="11"/>
        <v/>
      </c>
      <c r="J79" s="1" t="str">
        <f t="shared" si="12"/>
        <v>Absent</v>
      </c>
      <c r="K79" s="1" t="str">
        <f t="shared" si="13"/>
        <v>N/A</v>
      </c>
      <c r="L79" s="1" t="str">
        <f t="shared" si="14"/>
        <v>⚠ Mismatch</v>
      </c>
      <c r="M79" s="24" t="str">
        <f t="shared" si="15"/>
        <v>REVIEW</v>
      </c>
    </row>
    <row r="80" spans="1:13" ht="15" customHeight="1" x14ac:dyDescent="0.35">
      <c r="A80" s="1" t="s">
        <v>112</v>
      </c>
      <c r="B80" s="2" t="s">
        <v>113</v>
      </c>
      <c r="C80" s="1" t="s">
        <v>30</v>
      </c>
      <c r="D80" s="1" t="s">
        <v>86</v>
      </c>
      <c r="E80" s="24" t="s">
        <v>19</v>
      </c>
      <c r="F80" s="1" t="s">
        <v>138</v>
      </c>
      <c r="G80" s="1" t="s">
        <v>161</v>
      </c>
      <c r="H80" s="3">
        <f t="shared" ref="H80:H85" si="17">IFERROR(MOD(TIMEVALUE(G80)-TIMEVALUE(F80),1)*24,0)</f>
        <v>9.0000000000000036</v>
      </c>
      <c r="I80" s="24" t="str">
        <f t="shared" si="11"/>
        <v>Late</v>
      </c>
      <c r="J80" s="1" t="str">
        <f t="shared" si="12"/>
        <v>Full Day</v>
      </c>
      <c r="K80" s="1" t="str">
        <f t="shared" si="13"/>
        <v>Full Day</v>
      </c>
      <c r="L80" s="1" t="str">
        <f t="shared" si="14"/>
        <v>✓ Match</v>
      </c>
      <c r="M80" s="24" t="str">
        <f t="shared" si="15"/>
        <v>CLEAN</v>
      </c>
    </row>
    <row r="81" spans="1:13" ht="15" customHeight="1" x14ac:dyDescent="0.35">
      <c r="A81" s="1" t="s">
        <v>134</v>
      </c>
      <c r="B81" s="2" t="s">
        <v>135</v>
      </c>
      <c r="C81" s="1" t="s">
        <v>68</v>
      </c>
      <c r="D81" s="1" t="s">
        <v>86</v>
      </c>
      <c r="E81" s="24" t="s">
        <v>19</v>
      </c>
      <c r="F81" s="1" t="s">
        <v>163</v>
      </c>
      <c r="G81" s="1" t="s">
        <v>148</v>
      </c>
      <c r="H81" s="3">
        <f t="shared" si="17"/>
        <v>8.4166666666666643</v>
      </c>
      <c r="I81" s="24" t="str">
        <f t="shared" si="11"/>
        <v>On Time</v>
      </c>
      <c r="J81" s="1" t="str">
        <f t="shared" si="12"/>
        <v>Full Day</v>
      </c>
      <c r="K81" s="1" t="str">
        <f t="shared" si="13"/>
        <v>Full Day</v>
      </c>
      <c r="L81" s="1" t="str">
        <f t="shared" si="14"/>
        <v>✓ Match</v>
      </c>
      <c r="M81" s="24" t="str">
        <f t="shared" si="15"/>
        <v>CLEAN</v>
      </c>
    </row>
    <row r="82" spans="1:13" ht="15" customHeight="1" x14ac:dyDescent="0.35">
      <c r="A82" s="1" t="s">
        <v>40</v>
      </c>
      <c r="B82" s="2" t="s">
        <v>41</v>
      </c>
      <c r="C82" s="1" t="s">
        <v>24</v>
      </c>
      <c r="D82" s="1" t="s">
        <v>86</v>
      </c>
      <c r="E82" s="24" t="s">
        <v>37</v>
      </c>
      <c r="F82" s="1" t="s">
        <v>100</v>
      </c>
      <c r="G82" s="1" t="s">
        <v>168</v>
      </c>
      <c r="H82" s="3">
        <f t="shared" si="17"/>
        <v>7.75</v>
      </c>
      <c r="I82" s="24" t="str">
        <f t="shared" si="11"/>
        <v>On Time</v>
      </c>
      <c r="J82" s="1" t="str">
        <f t="shared" si="12"/>
        <v>Half Day</v>
      </c>
      <c r="K82" s="1" t="str">
        <f t="shared" si="13"/>
        <v>Half Day</v>
      </c>
      <c r="L82" s="1" t="str">
        <f t="shared" si="14"/>
        <v>✓ Match</v>
      </c>
      <c r="M82" s="24" t="str">
        <f t="shared" si="15"/>
        <v>CLEAN</v>
      </c>
    </row>
    <row r="83" spans="1:13" ht="15" customHeight="1" x14ac:dyDescent="0.35">
      <c r="A83" s="1" t="s">
        <v>79</v>
      </c>
      <c r="B83" s="2" t="s">
        <v>80</v>
      </c>
      <c r="C83" s="1" t="s">
        <v>18</v>
      </c>
      <c r="D83" s="1" t="s">
        <v>86</v>
      </c>
      <c r="E83" s="24" t="s">
        <v>19</v>
      </c>
      <c r="F83" s="1" t="s">
        <v>89</v>
      </c>
      <c r="G83" s="1" t="s">
        <v>156</v>
      </c>
      <c r="H83" s="3">
        <f t="shared" si="17"/>
        <v>7.4999999999999982</v>
      </c>
      <c r="I83" s="24" t="str">
        <f t="shared" si="11"/>
        <v>Late</v>
      </c>
      <c r="J83" s="1" t="str">
        <f t="shared" si="12"/>
        <v>Half Day</v>
      </c>
      <c r="K83" s="1" t="str">
        <f t="shared" si="13"/>
        <v>Half Day</v>
      </c>
      <c r="L83" s="1" t="str">
        <f t="shared" si="14"/>
        <v>✓ Match</v>
      </c>
      <c r="M83" s="24" t="str">
        <f t="shared" si="15"/>
        <v>CLEAN</v>
      </c>
    </row>
    <row r="84" spans="1:13" ht="15" customHeight="1" x14ac:dyDescent="0.35">
      <c r="A84" s="1" t="s">
        <v>53</v>
      </c>
      <c r="B84" s="2" t="s">
        <v>54</v>
      </c>
      <c r="C84" s="1" t="s">
        <v>18</v>
      </c>
      <c r="D84" s="1" t="s">
        <v>86</v>
      </c>
      <c r="E84" s="24" t="s">
        <v>37</v>
      </c>
      <c r="F84" s="1" t="s">
        <v>64</v>
      </c>
      <c r="G84" s="1" t="s">
        <v>164</v>
      </c>
      <c r="H84" s="3">
        <f t="shared" si="17"/>
        <v>7.416666666666667</v>
      </c>
      <c r="I84" s="24" t="str">
        <f t="shared" si="11"/>
        <v>On Time</v>
      </c>
      <c r="J84" s="1" t="str">
        <f t="shared" si="12"/>
        <v>Half Day</v>
      </c>
      <c r="K84" s="1" t="str">
        <f t="shared" si="13"/>
        <v>Half Day</v>
      </c>
      <c r="L84" s="1" t="str">
        <f t="shared" si="14"/>
        <v>✓ Match</v>
      </c>
      <c r="M84" s="24" t="str">
        <f t="shared" si="15"/>
        <v>CLEAN</v>
      </c>
    </row>
    <row r="85" spans="1:13" ht="15" customHeight="1" x14ac:dyDescent="0.35">
      <c r="A85" s="1" t="s">
        <v>76</v>
      </c>
      <c r="B85" s="2" t="s">
        <v>77</v>
      </c>
      <c r="C85" s="1" t="s">
        <v>68</v>
      </c>
      <c r="D85" s="1" t="s">
        <v>86</v>
      </c>
      <c r="E85" s="24" t="s">
        <v>19</v>
      </c>
      <c r="F85" s="1" t="s">
        <v>140</v>
      </c>
      <c r="G85" s="1" t="s">
        <v>44</v>
      </c>
      <c r="H85" s="3">
        <f t="shared" si="17"/>
        <v>8.75</v>
      </c>
      <c r="I85" s="24" t="str">
        <f t="shared" si="11"/>
        <v>Late</v>
      </c>
      <c r="J85" s="1" t="str">
        <f t="shared" si="12"/>
        <v>Full Day</v>
      </c>
      <c r="K85" s="1" t="str">
        <f t="shared" si="13"/>
        <v>Full Day</v>
      </c>
      <c r="L85" s="1" t="str">
        <f t="shared" si="14"/>
        <v>✓ Match</v>
      </c>
      <c r="M85" s="24" t="str">
        <f t="shared" si="15"/>
        <v>CLEAN</v>
      </c>
    </row>
    <row r="86" spans="1:13" ht="15" customHeight="1" x14ac:dyDescent="0.35">
      <c r="A86" s="1" t="s">
        <v>45</v>
      </c>
      <c r="B86" s="2" t="s">
        <v>46</v>
      </c>
      <c r="C86" s="1" t="s">
        <v>18</v>
      </c>
      <c r="D86" s="1" t="s">
        <v>86</v>
      </c>
      <c r="E86" s="24" t="s">
        <v>13</v>
      </c>
      <c r="F86" s="1" t="s">
        <v>14</v>
      </c>
      <c r="G86" s="1" t="s">
        <v>15</v>
      </c>
      <c r="H86" s="3">
        <v>0</v>
      </c>
      <c r="I86" s="24" t="str">
        <f t="shared" si="11"/>
        <v/>
      </c>
      <c r="J86" s="1" t="str">
        <f t="shared" si="12"/>
        <v>Absent</v>
      </c>
      <c r="K86" s="1" t="str">
        <f t="shared" si="13"/>
        <v>N/A</v>
      </c>
      <c r="L86" s="1" t="str">
        <f t="shared" si="14"/>
        <v>⚠ Mismatch</v>
      </c>
      <c r="M86" s="24" t="str">
        <f t="shared" si="15"/>
        <v>REVIEW</v>
      </c>
    </row>
    <row r="87" spans="1:13" ht="15" customHeight="1" x14ac:dyDescent="0.35">
      <c r="A87" s="1" t="s">
        <v>120</v>
      </c>
      <c r="B87" s="2" t="s">
        <v>121</v>
      </c>
      <c r="C87" s="1" t="s">
        <v>11</v>
      </c>
      <c r="D87" s="1" t="s">
        <v>86</v>
      </c>
      <c r="E87" s="24" t="s">
        <v>19</v>
      </c>
      <c r="F87" s="1" t="s">
        <v>43</v>
      </c>
      <c r="G87" s="1" t="s">
        <v>44</v>
      </c>
      <c r="H87" s="3">
        <f t="shared" ref="H87:H92" si="18">IFERROR(MOD(TIMEVALUE(G87)-TIMEVALUE(F87),1)*24,0)</f>
        <v>10</v>
      </c>
      <c r="I87" s="24" t="str">
        <f t="shared" si="11"/>
        <v>On Time</v>
      </c>
      <c r="J87" s="1" t="str">
        <f t="shared" si="12"/>
        <v>Full Day</v>
      </c>
      <c r="K87" s="1" t="str">
        <f t="shared" si="13"/>
        <v>Full Day</v>
      </c>
      <c r="L87" s="1" t="str">
        <f t="shared" si="14"/>
        <v>✓ Match</v>
      </c>
      <c r="M87" s="24" t="str">
        <f t="shared" si="15"/>
        <v>CLEAN</v>
      </c>
    </row>
    <row r="88" spans="1:13" ht="15" customHeight="1" x14ac:dyDescent="0.35">
      <c r="A88" s="1" t="s">
        <v>95</v>
      </c>
      <c r="B88" s="2" t="s">
        <v>96</v>
      </c>
      <c r="C88" s="1" t="s">
        <v>68</v>
      </c>
      <c r="D88" s="1" t="s">
        <v>86</v>
      </c>
      <c r="E88" s="24" t="s">
        <v>19</v>
      </c>
      <c r="F88" s="1" t="s">
        <v>140</v>
      </c>
      <c r="G88" s="1" t="s">
        <v>94</v>
      </c>
      <c r="H88" s="3">
        <f t="shared" si="18"/>
        <v>9.5</v>
      </c>
      <c r="I88" s="24" t="str">
        <f t="shared" si="11"/>
        <v>Late</v>
      </c>
      <c r="J88" s="1" t="str">
        <f t="shared" si="12"/>
        <v>Full Day</v>
      </c>
      <c r="K88" s="1" t="str">
        <f t="shared" si="13"/>
        <v>Full Day</v>
      </c>
      <c r="L88" s="1" t="str">
        <f t="shared" si="14"/>
        <v>✓ Match</v>
      </c>
      <c r="M88" s="24" t="str">
        <f t="shared" si="15"/>
        <v>CLEAN</v>
      </c>
    </row>
    <row r="89" spans="1:13" ht="15" customHeight="1" x14ac:dyDescent="0.35">
      <c r="A89" s="1" t="s">
        <v>28</v>
      </c>
      <c r="B89" s="2" t="s">
        <v>29</v>
      </c>
      <c r="C89" s="1" t="s">
        <v>30</v>
      </c>
      <c r="D89" s="1" t="s">
        <v>86</v>
      </c>
      <c r="E89" s="24" t="s">
        <v>19</v>
      </c>
      <c r="F89" s="1" t="s">
        <v>122</v>
      </c>
      <c r="G89" s="1" t="s">
        <v>154</v>
      </c>
      <c r="H89" s="3">
        <f t="shared" si="18"/>
        <v>6.9999999999999982</v>
      </c>
      <c r="I89" s="24" t="str">
        <f t="shared" si="11"/>
        <v>Late</v>
      </c>
      <c r="J89" s="1" t="str">
        <f t="shared" si="12"/>
        <v>Half Day</v>
      </c>
      <c r="K89" s="1" t="str">
        <f t="shared" si="13"/>
        <v>Half Day</v>
      </c>
      <c r="L89" s="1" t="str">
        <f t="shared" si="14"/>
        <v>✓ Match</v>
      </c>
      <c r="M89" s="24" t="str">
        <f t="shared" si="15"/>
        <v>CLEAN</v>
      </c>
    </row>
    <row r="90" spans="1:13" ht="15" customHeight="1" x14ac:dyDescent="0.35">
      <c r="A90" s="1" t="s">
        <v>117</v>
      </c>
      <c r="B90" s="2" t="s">
        <v>118</v>
      </c>
      <c r="C90" s="1" t="s">
        <v>30</v>
      </c>
      <c r="D90" s="1" t="s">
        <v>86</v>
      </c>
      <c r="E90" s="24" t="s">
        <v>19</v>
      </c>
      <c r="F90" s="1" t="s">
        <v>32</v>
      </c>
      <c r="G90" s="1" t="s">
        <v>146</v>
      </c>
      <c r="H90" s="3">
        <f t="shared" si="18"/>
        <v>7</v>
      </c>
      <c r="I90" s="24" t="str">
        <f t="shared" si="11"/>
        <v>On Time</v>
      </c>
      <c r="J90" s="1" t="str">
        <f t="shared" si="12"/>
        <v>Half Day</v>
      </c>
      <c r="K90" s="1" t="str">
        <f t="shared" si="13"/>
        <v>Half Day</v>
      </c>
      <c r="L90" s="1" t="str">
        <f t="shared" si="14"/>
        <v>✓ Match</v>
      </c>
      <c r="M90" s="24" t="str">
        <f t="shared" si="15"/>
        <v>CLEAN</v>
      </c>
    </row>
    <row r="91" spans="1:13" ht="15" customHeight="1" x14ac:dyDescent="0.35">
      <c r="A91" s="1" t="s">
        <v>66</v>
      </c>
      <c r="B91" s="2" t="s">
        <v>67</v>
      </c>
      <c r="C91" s="1" t="s">
        <v>68</v>
      </c>
      <c r="D91" s="1" t="s">
        <v>86</v>
      </c>
      <c r="E91" s="24" t="s">
        <v>19</v>
      </c>
      <c r="F91" s="1" t="s">
        <v>43</v>
      </c>
      <c r="G91" s="1" t="s">
        <v>144</v>
      </c>
      <c r="H91" s="3">
        <f t="shared" si="18"/>
        <v>8</v>
      </c>
      <c r="I91" s="24" t="str">
        <f t="shared" si="11"/>
        <v>On Time</v>
      </c>
      <c r="J91" s="1" t="str">
        <f t="shared" si="12"/>
        <v>Full Day</v>
      </c>
      <c r="K91" s="1" t="str">
        <f t="shared" si="13"/>
        <v>Full Day</v>
      </c>
      <c r="L91" s="1" t="str">
        <f t="shared" si="14"/>
        <v>✓ Match</v>
      </c>
      <c r="M91" s="24" t="str">
        <f t="shared" si="15"/>
        <v>CLEAN</v>
      </c>
    </row>
    <row r="92" spans="1:13" ht="15" customHeight="1" x14ac:dyDescent="0.35">
      <c r="A92" s="1" t="s">
        <v>91</v>
      </c>
      <c r="B92" s="2" t="s">
        <v>92</v>
      </c>
      <c r="C92" s="1" t="s">
        <v>18</v>
      </c>
      <c r="D92" s="1" t="s">
        <v>86</v>
      </c>
      <c r="E92" s="24" t="s">
        <v>19</v>
      </c>
      <c r="F92" s="1" t="s">
        <v>20</v>
      </c>
      <c r="G92" s="1" t="s">
        <v>166</v>
      </c>
      <c r="H92" s="3">
        <f t="shared" si="18"/>
        <v>6.5</v>
      </c>
      <c r="I92" s="24" t="str">
        <f t="shared" si="11"/>
        <v>On Time</v>
      </c>
      <c r="J92" s="1" t="str">
        <f t="shared" si="12"/>
        <v>Half Day</v>
      </c>
      <c r="K92" s="1" t="str">
        <f t="shared" si="13"/>
        <v>Half Day</v>
      </c>
      <c r="L92" s="1" t="str">
        <f t="shared" si="14"/>
        <v>✓ Match</v>
      </c>
      <c r="M92" s="24" t="str">
        <f t="shared" si="15"/>
        <v>CLEAN</v>
      </c>
    </row>
    <row r="93" spans="1:13" ht="15" customHeight="1" x14ac:dyDescent="0.35">
      <c r="A93" s="1" t="s">
        <v>9</v>
      </c>
      <c r="B93" s="2" t="s">
        <v>10</v>
      </c>
      <c r="C93" s="1" t="s">
        <v>11</v>
      </c>
      <c r="D93" s="1" t="s">
        <v>12</v>
      </c>
      <c r="E93" s="24" t="s">
        <v>13</v>
      </c>
      <c r="F93" s="1" t="s">
        <v>14</v>
      </c>
      <c r="G93" s="1" t="s">
        <v>15</v>
      </c>
      <c r="H93" s="3">
        <v>0</v>
      </c>
      <c r="I93" s="24" t="str">
        <f t="shared" si="11"/>
        <v/>
      </c>
      <c r="J93" s="1" t="str">
        <f t="shared" si="12"/>
        <v>Absent</v>
      </c>
      <c r="K93" s="1" t="str">
        <f t="shared" si="13"/>
        <v>N/A</v>
      </c>
      <c r="L93" s="1" t="str">
        <f t="shared" si="14"/>
        <v>⚠ Mismatch</v>
      </c>
      <c r="M93" s="24" t="str">
        <f t="shared" si="15"/>
        <v>REVIEW</v>
      </c>
    </row>
    <row r="94" spans="1:13" ht="15" customHeight="1" x14ac:dyDescent="0.35">
      <c r="A94" s="1" t="s">
        <v>16</v>
      </c>
      <c r="B94" s="2" t="s">
        <v>17</v>
      </c>
      <c r="C94" s="1" t="s">
        <v>18</v>
      </c>
      <c r="D94" s="1" t="s">
        <v>12</v>
      </c>
      <c r="E94" s="24" t="s">
        <v>19</v>
      </c>
      <c r="F94" s="1" t="s">
        <v>20</v>
      </c>
      <c r="G94" s="1" t="s">
        <v>21</v>
      </c>
      <c r="H94" s="3">
        <f>IFERROR(MOD(TIMEVALUE(G94)-TIMEVALUE(F94),1)*24,0)</f>
        <v>10.75</v>
      </c>
      <c r="I94" s="24" t="str">
        <f t="shared" si="11"/>
        <v>On Time</v>
      </c>
      <c r="J94" s="1" t="str">
        <f t="shared" si="12"/>
        <v>Full Day</v>
      </c>
      <c r="K94" s="1" t="str">
        <f t="shared" si="13"/>
        <v>Full Day</v>
      </c>
      <c r="L94" s="1" t="str">
        <f t="shared" si="14"/>
        <v>✓ Match</v>
      </c>
      <c r="M94" s="24" t="str">
        <f t="shared" si="15"/>
        <v>CLEAN</v>
      </c>
    </row>
    <row r="95" spans="1:13" ht="15" customHeight="1" x14ac:dyDescent="0.35">
      <c r="A95" s="1" t="s">
        <v>66</v>
      </c>
      <c r="B95" s="2" t="s">
        <v>67</v>
      </c>
      <c r="C95" s="1" t="s">
        <v>68</v>
      </c>
      <c r="D95" s="1" t="s">
        <v>12</v>
      </c>
      <c r="E95" s="24" t="s">
        <v>13</v>
      </c>
      <c r="F95" s="1" t="s">
        <v>14</v>
      </c>
      <c r="G95" s="1" t="s">
        <v>15</v>
      </c>
      <c r="H95" s="3">
        <v>0</v>
      </c>
      <c r="I95" s="24" t="str">
        <f t="shared" si="11"/>
        <v/>
      </c>
      <c r="J95" s="1" t="str">
        <f t="shared" si="12"/>
        <v>Absent</v>
      </c>
      <c r="K95" s="1" t="str">
        <f t="shared" si="13"/>
        <v>N/A</v>
      </c>
      <c r="L95" s="1" t="str">
        <f t="shared" si="14"/>
        <v>⚠ Mismatch</v>
      </c>
      <c r="M95" s="24" t="str">
        <f t="shared" si="15"/>
        <v>REVIEW</v>
      </c>
    </row>
    <row r="96" spans="1:13" ht="15" customHeight="1" x14ac:dyDescent="0.35">
      <c r="A96" s="1" t="s">
        <v>95</v>
      </c>
      <c r="B96" s="2" t="s">
        <v>96</v>
      </c>
      <c r="C96" s="1" t="s">
        <v>68</v>
      </c>
      <c r="D96" s="1" t="s">
        <v>12</v>
      </c>
      <c r="E96" s="24" t="s">
        <v>37</v>
      </c>
      <c r="F96" s="1" t="s">
        <v>64</v>
      </c>
      <c r="G96" s="1" t="s">
        <v>154</v>
      </c>
      <c r="H96" s="3">
        <f>IFERROR(MOD(TIMEVALUE(G96)-TIMEVALUE(F96),1)*24,0)</f>
        <v>8.2499999999999964</v>
      </c>
      <c r="I96" s="24" t="str">
        <f t="shared" si="11"/>
        <v>On Time</v>
      </c>
      <c r="J96" s="1" t="str">
        <f t="shared" si="12"/>
        <v>Full Day</v>
      </c>
      <c r="K96" s="1" t="str">
        <f t="shared" si="13"/>
        <v>Full Day</v>
      </c>
      <c r="L96" s="1" t="str">
        <f t="shared" si="14"/>
        <v>✓ Match</v>
      </c>
      <c r="M96" s="24" t="str">
        <f t="shared" si="15"/>
        <v>CLEAN</v>
      </c>
    </row>
    <row r="97" spans="1:13" ht="15" customHeight="1" x14ac:dyDescent="0.35">
      <c r="A97" s="1" t="s">
        <v>98</v>
      </c>
      <c r="B97" s="2" t="s">
        <v>99</v>
      </c>
      <c r="C97" s="1" t="s">
        <v>18</v>
      </c>
      <c r="D97" s="1" t="s">
        <v>12</v>
      </c>
      <c r="E97" s="24" t="s">
        <v>13</v>
      </c>
      <c r="F97" s="1" t="s">
        <v>14</v>
      </c>
      <c r="G97" s="1" t="s">
        <v>15</v>
      </c>
      <c r="H97" s="3">
        <v>0</v>
      </c>
      <c r="I97" s="24" t="str">
        <f t="shared" si="11"/>
        <v/>
      </c>
      <c r="J97" s="1" t="str">
        <f t="shared" si="12"/>
        <v>Absent</v>
      </c>
      <c r="K97" s="1" t="str">
        <f t="shared" si="13"/>
        <v>N/A</v>
      </c>
      <c r="L97" s="1" t="str">
        <f t="shared" si="14"/>
        <v>⚠ Mismatch</v>
      </c>
      <c r="M97" s="24" t="str">
        <f t="shared" si="15"/>
        <v>REVIEW</v>
      </c>
    </row>
    <row r="98" spans="1:13" ht="15" customHeight="1" x14ac:dyDescent="0.35">
      <c r="A98" s="1" t="s">
        <v>28</v>
      </c>
      <c r="B98" s="2" t="s">
        <v>29</v>
      </c>
      <c r="C98" s="1" t="s">
        <v>30</v>
      </c>
      <c r="D98" s="1" t="s">
        <v>12</v>
      </c>
      <c r="E98" s="24" t="s">
        <v>13</v>
      </c>
      <c r="F98" s="1" t="s">
        <v>14</v>
      </c>
      <c r="G98" s="1" t="s">
        <v>15</v>
      </c>
      <c r="H98" s="3">
        <v>0</v>
      </c>
      <c r="I98" s="24" t="str">
        <f t="shared" si="11"/>
        <v/>
      </c>
      <c r="J98" s="1" t="str">
        <f t="shared" si="12"/>
        <v>Absent</v>
      </c>
      <c r="K98" s="1" t="str">
        <f t="shared" si="13"/>
        <v>N/A</v>
      </c>
      <c r="L98" s="1" t="str">
        <f t="shared" si="14"/>
        <v>⚠ Mismatch</v>
      </c>
      <c r="M98" s="24" t="str">
        <f t="shared" si="15"/>
        <v>REVIEW</v>
      </c>
    </row>
    <row r="99" spans="1:13" ht="15" customHeight="1" x14ac:dyDescent="0.35">
      <c r="A99" s="1" t="s">
        <v>112</v>
      </c>
      <c r="B99" s="2" t="s">
        <v>113</v>
      </c>
      <c r="C99" s="1" t="s">
        <v>30</v>
      </c>
      <c r="D99" s="1" t="s">
        <v>12</v>
      </c>
      <c r="E99" s="24" t="s">
        <v>19</v>
      </c>
      <c r="F99" s="1" t="s">
        <v>84</v>
      </c>
      <c r="G99" s="1" t="s">
        <v>107</v>
      </c>
      <c r="H99" s="3">
        <f>IFERROR(MOD(TIMEVALUE(G99)-TIMEVALUE(F99),1)*24,0)</f>
        <v>8.9999999999999982</v>
      </c>
      <c r="I99" s="24" t="str">
        <f t="shared" si="11"/>
        <v>Late</v>
      </c>
      <c r="J99" s="1" t="str">
        <f t="shared" si="12"/>
        <v>Full Day</v>
      </c>
      <c r="K99" s="1" t="str">
        <f t="shared" si="13"/>
        <v>Full Day</v>
      </c>
      <c r="L99" s="1" t="str">
        <f t="shared" si="14"/>
        <v>✓ Match</v>
      </c>
      <c r="M99" s="24" t="str">
        <f t="shared" si="15"/>
        <v>CLEAN</v>
      </c>
    </row>
    <row r="100" spans="1:13" ht="15" customHeight="1" x14ac:dyDescent="0.35">
      <c r="A100" s="1" t="s">
        <v>117</v>
      </c>
      <c r="B100" s="2" t="s">
        <v>118</v>
      </c>
      <c r="C100" s="1" t="s">
        <v>30</v>
      </c>
      <c r="D100" s="1" t="s">
        <v>12</v>
      </c>
      <c r="E100" s="24" t="s">
        <v>13</v>
      </c>
      <c r="F100" s="1" t="s">
        <v>14</v>
      </c>
      <c r="G100" s="1" t="s">
        <v>15</v>
      </c>
      <c r="H100" s="3">
        <v>0</v>
      </c>
      <c r="I100" s="24" t="str">
        <f t="shared" si="11"/>
        <v/>
      </c>
      <c r="J100" s="1" t="str">
        <f t="shared" si="12"/>
        <v>Absent</v>
      </c>
      <c r="K100" s="1" t="str">
        <f t="shared" si="13"/>
        <v>N/A</v>
      </c>
      <c r="L100" s="1" t="str">
        <f t="shared" si="14"/>
        <v>⚠ Mismatch</v>
      </c>
      <c r="M100" s="24" t="str">
        <f t="shared" si="15"/>
        <v>REVIEW</v>
      </c>
    </row>
    <row r="101" spans="1:13" ht="15" customHeight="1" x14ac:dyDescent="0.35">
      <c r="A101" s="1" t="s">
        <v>76</v>
      </c>
      <c r="B101" s="2" t="s">
        <v>77</v>
      </c>
      <c r="C101" s="1" t="s">
        <v>68</v>
      </c>
      <c r="D101" s="1" t="s">
        <v>12</v>
      </c>
      <c r="E101" s="24" t="s">
        <v>37</v>
      </c>
      <c r="F101" s="1" t="s">
        <v>26</v>
      </c>
      <c r="G101" s="1" t="s">
        <v>141</v>
      </c>
      <c r="H101" s="3">
        <f>IFERROR(MOD(TIMEVALUE(G101)-TIMEVALUE(F101),1)*24,0)</f>
        <v>9.2499999999999982</v>
      </c>
      <c r="I101" s="24" t="str">
        <f t="shared" si="11"/>
        <v>Late</v>
      </c>
      <c r="J101" s="1" t="str">
        <f t="shared" si="12"/>
        <v>Full Day</v>
      </c>
      <c r="K101" s="1" t="str">
        <f t="shared" si="13"/>
        <v>Full Day</v>
      </c>
      <c r="L101" s="1" t="str">
        <f t="shared" si="14"/>
        <v>✓ Match</v>
      </c>
      <c r="M101" s="24" t="str">
        <f t="shared" si="15"/>
        <v>CLEAN</v>
      </c>
    </row>
    <row r="102" spans="1:13" ht="15" customHeight="1" x14ac:dyDescent="0.35">
      <c r="A102" s="1" t="s">
        <v>110</v>
      </c>
      <c r="B102" s="2" t="s">
        <v>111</v>
      </c>
      <c r="C102" s="1" t="s">
        <v>68</v>
      </c>
      <c r="D102" s="1" t="s">
        <v>12</v>
      </c>
      <c r="E102" s="24" t="s">
        <v>19</v>
      </c>
      <c r="F102" s="1" t="s">
        <v>84</v>
      </c>
      <c r="G102" s="1" t="s">
        <v>123</v>
      </c>
      <c r="H102" s="3">
        <f>IFERROR(MOD(TIMEVALUE(G102)-TIMEVALUE(F102),1)*24,0)</f>
        <v>10.916666666666666</v>
      </c>
      <c r="I102" s="24" t="str">
        <f t="shared" si="11"/>
        <v>Late</v>
      </c>
      <c r="J102" s="1" t="str">
        <f t="shared" si="12"/>
        <v>Full Day</v>
      </c>
      <c r="K102" s="1" t="str">
        <f t="shared" si="13"/>
        <v>Full Day</v>
      </c>
      <c r="L102" s="1" t="str">
        <f t="shared" si="14"/>
        <v>✓ Match</v>
      </c>
      <c r="M102" s="24" t="str">
        <f t="shared" si="15"/>
        <v>CLEAN</v>
      </c>
    </row>
    <row r="103" spans="1:13" ht="15" customHeight="1" x14ac:dyDescent="0.35">
      <c r="A103" s="1" t="s">
        <v>120</v>
      </c>
      <c r="B103" s="2" t="s">
        <v>121</v>
      </c>
      <c r="C103" s="1" t="s">
        <v>11</v>
      </c>
      <c r="D103" s="1" t="s">
        <v>12</v>
      </c>
      <c r="E103" s="24" t="s">
        <v>19</v>
      </c>
      <c r="F103" s="1" t="s">
        <v>84</v>
      </c>
      <c r="G103" s="1" t="s">
        <v>27</v>
      </c>
      <c r="H103" s="3">
        <f>IFERROR(MOD(TIMEVALUE(G103)-TIMEVALUE(F103),1)*24,0)</f>
        <v>11.5</v>
      </c>
      <c r="I103" s="24" t="str">
        <f t="shared" si="11"/>
        <v>Late</v>
      </c>
      <c r="J103" s="1" t="str">
        <f t="shared" si="12"/>
        <v>Full Day</v>
      </c>
      <c r="K103" s="1" t="str">
        <f t="shared" si="13"/>
        <v>Full Day</v>
      </c>
      <c r="L103" s="1" t="str">
        <f t="shared" si="14"/>
        <v>✓ Match</v>
      </c>
      <c r="M103" s="24" t="str">
        <f t="shared" si="15"/>
        <v>CLEAN</v>
      </c>
    </row>
    <row r="104" spans="1:13" ht="15" customHeight="1" x14ac:dyDescent="0.35">
      <c r="A104" s="1" t="s">
        <v>82</v>
      </c>
      <c r="B104" s="2" t="s">
        <v>83</v>
      </c>
      <c r="C104" s="1" t="s">
        <v>68</v>
      </c>
      <c r="D104" s="1" t="s">
        <v>12</v>
      </c>
      <c r="E104" s="24" t="s">
        <v>19</v>
      </c>
      <c r="F104" s="1" t="s">
        <v>104</v>
      </c>
      <c r="G104" s="1" t="s">
        <v>50</v>
      </c>
      <c r="H104" s="3">
        <f>IFERROR(MOD(TIMEVALUE(G104)-TIMEVALUE(F104),1)*24,0)</f>
        <v>6.8333333333333339</v>
      </c>
      <c r="I104" s="24" t="str">
        <f t="shared" si="11"/>
        <v>Late</v>
      </c>
      <c r="J104" s="1" t="str">
        <f t="shared" si="12"/>
        <v>Half Day</v>
      </c>
      <c r="K104" s="1" t="str">
        <f t="shared" si="13"/>
        <v>Half Day</v>
      </c>
      <c r="L104" s="1" t="str">
        <f t="shared" si="14"/>
        <v>✓ Match</v>
      </c>
      <c r="M104" s="24" t="str">
        <f t="shared" si="15"/>
        <v>CLEAN</v>
      </c>
    </row>
    <row r="105" spans="1:13" ht="15" customHeight="1" x14ac:dyDescent="0.35">
      <c r="A105" s="1" t="s">
        <v>57</v>
      </c>
      <c r="B105" s="2" t="s">
        <v>58</v>
      </c>
      <c r="C105" s="1" t="s">
        <v>30</v>
      </c>
      <c r="D105" s="1" t="s">
        <v>12</v>
      </c>
      <c r="E105" s="24" t="s">
        <v>13</v>
      </c>
      <c r="F105" s="1" t="s">
        <v>14</v>
      </c>
      <c r="G105" s="1" t="s">
        <v>15</v>
      </c>
      <c r="H105" s="3">
        <v>0</v>
      </c>
      <c r="I105" s="24" t="str">
        <f t="shared" si="11"/>
        <v/>
      </c>
      <c r="J105" s="1" t="str">
        <f t="shared" si="12"/>
        <v>Absent</v>
      </c>
      <c r="K105" s="1" t="str">
        <f t="shared" si="13"/>
        <v>N/A</v>
      </c>
      <c r="L105" s="1" t="str">
        <f t="shared" si="14"/>
        <v>⚠ Mismatch</v>
      </c>
      <c r="M105" s="24" t="str">
        <f t="shared" si="15"/>
        <v>REVIEW</v>
      </c>
    </row>
    <row r="106" spans="1:13" ht="15" customHeight="1" x14ac:dyDescent="0.35">
      <c r="A106" s="1" t="s">
        <v>158</v>
      </c>
      <c r="B106" s="2" t="s">
        <v>159</v>
      </c>
      <c r="C106" s="1" t="s">
        <v>11</v>
      </c>
      <c r="D106" s="1" t="s">
        <v>12</v>
      </c>
      <c r="E106" s="24" t="s">
        <v>37</v>
      </c>
      <c r="F106" s="1" t="s">
        <v>122</v>
      </c>
      <c r="G106" s="1" t="s">
        <v>123</v>
      </c>
      <c r="H106" s="3">
        <f>IFERROR(MOD(TIMEVALUE(G106)-TIMEVALUE(F106),1)*24,0)</f>
        <v>10.833333333333334</v>
      </c>
      <c r="I106" s="24" t="str">
        <f t="shared" si="11"/>
        <v>Late</v>
      </c>
      <c r="J106" s="1" t="str">
        <f t="shared" si="12"/>
        <v>Full Day</v>
      </c>
      <c r="K106" s="1" t="str">
        <f t="shared" si="13"/>
        <v>Full Day</v>
      </c>
      <c r="L106" s="1" t="str">
        <f t="shared" si="14"/>
        <v>✓ Match</v>
      </c>
      <c r="M106" s="24" t="str">
        <f t="shared" si="15"/>
        <v>CLEAN</v>
      </c>
    </row>
    <row r="107" spans="1:13" ht="15" customHeight="1" x14ac:dyDescent="0.35">
      <c r="A107" s="1" t="s">
        <v>142</v>
      </c>
      <c r="B107" s="2" t="s">
        <v>143</v>
      </c>
      <c r="C107" s="1" t="s">
        <v>18</v>
      </c>
      <c r="D107" s="1" t="s">
        <v>12</v>
      </c>
      <c r="E107" s="24" t="s">
        <v>19</v>
      </c>
      <c r="F107" s="1" t="s">
        <v>70</v>
      </c>
      <c r="G107" s="1" t="s">
        <v>123</v>
      </c>
      <c r="H107" s="3">
        <f>IFERROR(MOD(TIMEVALUE(G107)-TIMEVALUE(F107),1)*24,0)</f>
        <v>9.4166666666666661</v>
      </c>
      <c r="I107" s="24" t="str">
        <f t="shared" si="11"/>
        <v>Late</v>
      </c>
      <c r="J107" s="1" t="str">
        <f t="shared" si="12"/>
        <v>Full Day</v>
      </c>
      <c r="K107" s="1" t="str">
        <f t="shared" si="13"/>
        <v>Full Day</v>
      </c>
      <c r="L107" s="1" t="str">
        <f t="shared" si="14"/>
        <v>✓ Match</v>
      </c>
      <c r="M107" s="24" t="str">
        <f t="shared" si="15"/>
        <v>CLEAN</v>
      </c>
    </row>
    <row r="108" spans="1:13" ht="15" customHeight="1" x14ac:dyDescent="0.35">
      <c r="A108" s="1" t="s">
        <v>105</v>
      </c>
      <c r="B108" s="2" t="s">
        <v>106</v>
      </c>
      <c r="C108" s="1" t="s">
        <v>11</v>
      </c>
      <c r="D108" s="1" t="s">
        <v>12</v>
      </c>
      <c r="E108" s="24" t="s">
        <v>19</v>
      </c>
      <c r="F108" s="1" t="s">
        <v>32</v>
      </c>
      <c r="G108" s="1" t="s">
        <v>94</v>
      </c>
      <c r="H108" s="3">
        <f>IFERROR(MOD(TIMEVALUE(G108)-TIMEVALUE(F108),1)*24,0)</f>
        <v>11.083333333333336</v>
      </c>
      <c r="I108" s="24" t="str">
        <f t="shared" si="11"/>
        <v>On Time</v>
      </c>
      <c r="J108" s="1" t="str">
        <f t="shared" si="12"/>
        <v>Full Day</v>
      </c>
      <c r="K108" s="1" t="str">
        <f t="shared" si="13"/>
        <v>Full Day</v>
      </c>
      <c r="L108" s="1" t="str">
        <f t="shared" si="14"/>
        <v>✓ Match</v>
      </c>
      <c r="M108" s="24" t="str">
        <f t="shared" si="15"/>
        <v>CLEAN</v>
      </c>
    </row>
    <row r="109" spans="1:13" ht="15" customHeight="1" x14ac:dyDescent="0.35">
      <c r="A109" s="1" t="s">
        <v>91</v>
      </c>
      <c r="B109" s="2" t="s">
        <v>92</v>
      </c>
      <c r="C109" s="1" t="s">
        <v>18</v>
      </c>
      <c r="D109" s="1" t="s">
        <v>12</v>
      </c>
      <c r="E109" s="24" t="s">
        <v>19</v>
      </c>
      <c r="F109" s="1" t="s">
        <v>84</v>
      </c>
      <c r="G109" s="1" t="s">
        <v>123</v>
      </c>
      <c r="H109" s="3">
        <f>IFERROR(MOD(TIMEVALUE(G109)-TIMEVALUE(F109),1)*24,0)</f>
        <v>10.916666666666666</v>
      </c>
      <c r="I109" s="24" t="str">
        <f t="shared" si="11"/>
        <v>Late</v>
      </c>
      <c r="J109" s="1" t="str">
        <f t="shared" si="12"/>
        <v>Full Day</v>
      </c>
      <c r="K109" s="1" t="str">
        <f t="shared" si="13"/>
        <v>Full Day</v>
      </c>
      <c r="L109" s="1" t="str">
        <f t="shared" si="14"/>
        <v>✓ Match</v>
      </c>
      <c r="M109" s="24" t="str">
        <f t="shared" si="15"/>
        <v>CLEAN</v>
      </c>
    </row>
    <row r="110" spans="1:13" ht="15" customHeight="1" x14ac:dyDescent="0.35">
      <c r="A110" s="1" t="s">
        <v>134</v>
      </c>
      <c r="B110" s="2" t="s">
        <v>135</v>
      </c>
      <c r="C110" s="1" t="s">
        <v>68</v>
      </c>
      <c r="D110" s="1" t="s">
        <v>12</v>
      </c>
      <c r="E110" s="24" t="s">
        <v>13</v>
      </c>
      <c r="F110" s="1" t="s">
        <v>14</v>
      </c>
      <c r="G110" s="1" t="s">
        <v>15</v>
      </c>
      <c r="H110" s="3">
        <v>0</v>
      </c>
      <c r="I110" s="24" t="str">
        <f t="shared" si="11"/>
        <v/>
      </c>
      <c r="J110" s="1" t="str">
        <f t="shared" si="12"/>
        <v>Absent</v>
      </c>
      <c r="K110" s="1" t="str">
        <f t="shared" si="13"/>
        <v>N/A</v>
      </c>
      <c r="L110" s="1" t="str">
        <f t="shared" si="14"/>
        <v>⚠ Mismatch</v>
      </c>
      <c r="M110" s="24" t="str">
        <f t="shared" si="15"/>
        <v>REVIEW</v>
      </c>
    </row>
    <row r="111" spans="1:13" ht="15" customHeight="1" x14ac:dyDescent="0.35">
      <c r="A111" s="1" t="s">
        <v>72</v>
      </c>
      <c r="B111" s="2" t="s">
        <v>73</v>
      </c>
      <c r="C111" s="1" t="s">
        <v>68</v>
      </c>
      <c r="D111" s="1" t="s">
        <v>12</v>
      </c>
      <c r="E111" s="24" t="s">
        <v>13</v>
      </c>
      <c r="F111" s="1" t="s">
        <v>14</v>
      </c>
      <c r="G111" s="1" t="s">
        <v>15</v>
      </c>
      <c r="H111" s="3">
        <v>0</v>
      </c>
      <c r="I111" s="24" t="str">
        <f t="shared" si="11"/>
        <v/>
      </c>
      <c r="J111" s="1" t="str">
        <f t="shared" si="12"/>
        <v>Absent</v>
      </c>
      <c r="K111" s="1" t="str">
        <f t="shared" si="13"/>
        <v>N/A</v>
      </c>
      <c r="L111" s="1" t="str">
        <f t="shared" si="14"/>
        <v>⚠ Mismatch</v>
      </c>
      <c r="M111" s="24" t="str">
        <f t="shared" si="15"/>
        <v>REVIEW</v>
      </c>
    </row>
    <row r="112" spans="1:13" ht="15" customHeight="1" x14ac:dyDescent="0.35">
      <c r="A112" s="1" t="s">
        <v>101</v>
      </c>
      <c r="B112" s="2" t="s">
        <v>102</v>
      </c>
      <c r="C112" s="1" t="s">
        <v>30</v>
      </c>
      <c r="D112" s="1" t="s">
        <v>12</v>
      </c>
      <c r="E112" s="24" t="s">
        <v>19</v>
      </c>
      <c r="F112" s="1" t="s">
        <v>43</v>
      </c>
      <c r="G112" s="1" t="s">
        <v>156</v>
      </c>
      <c r="H112" s="3">
        <f>IFERROR(MOD(TIMEVALUE(G112)-TIMEVALUE(F112),1)*24,0)</f>
        <v>8.9999999999999982</v>
      </c>
      <c r="I112" s="24" t="str">
        <f t="shared" si="11"/>
        <v>On Time</v>
      </c>
      <c r="J112" s="1" t="str">
        <f t="shared" si="12"/>
        <v>Full Day</v>
      </c>
      <c r="K112" s="1" t="str">
        <f t="shared" si="13"/>
        <v>Full Day</v>
      </c>
      <c r="L112" s="1" t="str">
        <f t="shared" si="14"/>
        <v>✓ Match</v>
      </c>
      <c r="M112" s="24" t="str">
        <f t="shared" si="15"/>
        <v>CLEAN</v>
      </c>
    </row>
    <row r="113" spans="1:13" ht="15" customHeight="1" x14ac:dyDescent="0.35">
      <c r="A113" s="1" t="s">
        <v>124</v>
      </c>
      <c r="B113" s="2" t="s">
        <v>125</v>
      </c>
      <c r="C113" s="1" t="s">
        <v>68</v>
      </c>
      <c r="D113" s="1" t="s">
        <v>12</v>
      </c>
      <c r="E113" s="24" t="s">
        <v>13</v>
      </c>
      <c r="F113" s="1" t="s">
        <v>14</v>
      </c>
      <c r="G113" s="1" t="s">
        <v>15</v>
      </c>
      <c r="H113" s="3">
        <v>0</v>
      </c>
      <c r="I113" s="24" t="str">
        <f t="shared" si="11"/>
        <v/>
      </c>
      <c r="J113" s="1" t="str">
        <f t="shared" si="12"/>
        <v>Absent</v>
      </c>
      <c r="K113" s="1" t="str">
        <f t="shared" si="13"/>
        <v>N/A</v>
      </c>
      <c r="L113" s="1" t="str">
        <f t="shared" si="14"/>
        <v>⚠ Mismatch</v>
      </c>
      <c r="M113" s="24" t="str">
        <f t="shared" si="15"/>
        <v>REVIEW</v>
      </c>
    </row>
    <row r="114" spans="1:13" ht="15" customHeight="1" x14ac:dyDescent="0.35">
      <c r="A114" s="1" t="s">
        <v>61</v>
      </c>
      <c r="B114" s="2" t="s">
        <v>62</v>
      </c>
      <c r="C114" s="1" t="s">
        <v>11</v>
      </c>
      <c r="D114" s="1" t="s">
        <v>12</v>
      </c>
      <c r="E114" s="24" t="s">
        <v>19</v>
      </c>
      <c r="F114" s="1" t="s">
        <v>104</v>
      </c>
      <c r="G114" s="1" t="s">
        <v>27</v>
      </c>
      <c r="H114" s="3">
        <f t="shared" ref="H114:H126" si="19">IFERROR(MOD(TIMEVALUE(G114)-TIMEVALUE(F114),1)*24,0)</f>
        <v>10.583333333333334</v>
      </c>
      <c r="I114" s="24" t="str">
        <f t="shared" si="11"/>
        <v>Late</v>
      </c>
      <c r="J114" s="1" t="str">
        <f t="shared" si="12"/>
        <v>Full Day</v>
      </c>
      <c r="K114" s="1" t="str">
        <f t="shared" si="13"/>
        <v>Full Day</v>
      </c>
      <c r="L114" s="1" t="str">
        <f t="shared" si="14"/>
        <v>✓ Match</v>
      </c>
      <c r="M114" s="24" t="str">
        <f t="shared" si="15"/>
        <v>CLEAN</v>
      </c>
    </row>
    <row r="115" spans="1:13" ht="15" customHeight="1" x14ac:dyDescent="0.35">
      <c r="A115" s="1" t="s">
        <v>40</v>
      </c>
      <c r="B115" s="2" t="s">
        <v>41</v>
      </c>
      <c r="C115" s="1" t="s">
        <v>24</v>
      </c>
      <c r="D115" s="1" t="s">
        <v>12</v>
      </c>
      <c r="E115" s="24" t="s">
        <v>19</v>
      </c>
      <c r="F115" s="1" t="s">
        <v>89</v>
      </c>
      <c r="G115" s="1" t="s">
        <v>108</v>
      </c>
      <c r="H115" s="3">
        <f t="shared" si="19"/>
        <v>10.499999999999998</v>
      </c>
      <c r="I115" s="24" t="str">
        <f t="shared" si="11"/>
        <v>Late</v>
      </c>
      <c r="J115" s="1" t="str">
        <f t="shared" si="12"/>
        <v>Full Day</v>
      </c>
      <c r="K115" s="1" t="str">
        <f t="shared" si="13"/>
        <v>Full Day</v>
      </c>
      <c r="L115" s="1" t="str">
        <f t="shared" si="14"/>
        <v>✓ Match</v>
      </c>
      <c r="M115" s="24" t="str">
        <f t="shared" si="15"/>
        <v>CLEAN</v>
      </c>
    </row>
    <row r="116" spans="1:13" ht="15" customHeight="1" x14ac:dyDescent="0.35">
      <c r="A116" s="1" t="s">
        <v>22</v>
      </c>
      <c r="B116" s="2" t="s">
        <v>23</v>
      </c>
      <c r="C116" s="1" t="s">
        <v>24</v>
      </c>
      <c r="D116" s="1" t="s">
        <v>12</v>
      </c>
      <c r="E116" s="24" t="s">
        <v>19</v>
      </c>
      <c r="F116" s="1" t="s">
        <v>138</v>
      </c>
      <c r="G116" s="1" t="s">
        <v>97</v>
      </c>
      <c r="H116" s="3">
        <f t="shared" si="19"/>
        <v>11.083333333333334</v>
      </c>
      <c r="I116" s="24" t="str">
        <f t="shared" si="11"/>
        <v>Late</v>
      </c>
      <c r="J116" s="1" t="str">
        <f t="shared" si="12"/>
        <v>Full Day</v>
      </c>
      <c r="K116" s="1" t="str">
        <f t="shared" si="13"/>
        <v>Full Day</v>
      </c>
      <c r="L116" s="1" t="str">
        <f t="shared" si="14"/>
        <v>✓ Match</v>
      </c>
      <c r="M116" s="24" t="str">
        <f t="shared" si="15"/>
        <v>CLEAN</v>
      </c>
    </row>
    <row r="117" spans="1:13" ht="15" customHeight="1" x14ac:dyDescent="0.35">
      <c r="A117" s="1" t="s">
        <v>53</v>
      </c>
      <c r="B117" s="2" t="s">
        <v>54</v>
      </c>
      <c r="C117" s="1" t="s">
        <v>18</v>
      </c>
      <c r="D117" s="1" t="s">
        <v>12</v>
      </c>
      <c r="E117" s="24" t="s">
        <v>19</v>
      </c>
      <c r="F117" s="1" t="s">
        <v>56</v>
      </c>
      <c r="G117" s="1" t="s">
        <v>94</v>
      </c>
      <c r="H117" s="3">
        <f t="shared" si="19"/>
        <v>9.0000000000000018</v>
      </c>
      <c r="I117" s="24" t="str">
        <f t="shared" si="11"/>
        <v>Late</v>
      </c>
      <c r="J117" s="1" t="str">
        <f t="shared" si="12"/>
        <v>Full Day</v>
      </c>
      <c r="K117" s="1" t="str">
        <f t="shared" si="13"/>
        <v>Full Day</v>
      </c>
      <c r="L117" s="1" t="str">
        <f t="shared" si="14"/>
        <v>✓ Match</v>
      </c>
      <c r="M117" s="24" t="str">
        <f t="shared" si="15"/>
        <v>CLEAN</v>
      </c>
    </row>
    <row r="118" spans="1:13" ht="15" customHeight="1" x14ac:dyDescent="0.35">
      <c r="A118" s="1" t="s">
        <v>79</v>
      </c>
      <c r="B118" s="2" t="s">
        <v>80</v>
      </c>
      <c r="C118" s="1" t="s">
        <v>18</v>
      </c>
      <c r="D118" s="1" t="s">
        <v>12</v>
      </c>
      <c r="E118" s="24" t="s">
        <v>19</v>
      </c>
      <c r="F118" s="1" t="s">
        <v>89</v>
      </c>
      <c r="G118" s="1" t="s">
        <v>90</v>
      </c>
      <c r="H118" s="3">
        <f t="shared" si="19"/>
        <v>10</v>
      </c>
      <c r="I118" s="24" t="str">
        <f t="shared" si="11"/>
        <v>Late</v>
      </c>
      <c r="J118" s="1" t="str">
        <f t="shared" si="12"/>
        <v>Full Day</v>
      </c>
      <c r="K118" s="1" t="str">
        <f t="shared" si="13"/>
        <v>Full Day</v>
      </c>
      <c r="L118" s="1" t="str">
        <f t="shared" si="14"/>
        <v>✓ Match</v>
      </c>
      <c r="M118" s="24" t="str">
        <f t="shared" si="15"/>
        <v>CLEAN</v>
      </c>
    </row>
    <row r="119" spans="1:13" ht="15" customHeight="1" x14ac:dyDescent="0.35">
      <c r="A119" s="1" t="s">
        <v>130</v>
      </c>
      <c r="B119" s="2" t="s">
        <v>131</v>
      </c>
      <c r="C119" s="1" t="s">
        <v>11</v>
      </c>
      <c r="D119" s="1" t="s">
        <v>12</v>
      </c>
      <c r="E119" s="24" t="s">
        <v>19</v>
      </c>
      <c r="F119" s="1" t="s">
        <v>20</v>
      </c>
      <c r="G119" s="1" t="s">
        <v>147</v>
      </c>
      <c r="H119" s="3">
        <f t="shared" si="19"/>
        <v>8.5833333333333339</v>
      </c>
      <c r="I119" s="24" t="str">
        <f t="shared" si="11"/>
        <v>On Time</v>
      </c>
      <c r="J119" s="1" t="str">
        <f t="shared" si="12"/>
        <v>Full Day</v>
      </c>
      <c r="K119" s="1" t="str">
        <f t="shared" si="13"/>
        <v>Full Day</v>
      </c>
      <c r="L119" s="1" t="str">
        <f t="shared" si="14"/>
        <v>✓ Match</v>
      </c>
      <c r="M119" s="24" t="str">
        <f t="shared" si="15"/>
        <v>CLEAN</v>
      </c>
    </row>
    <row r="120" spans="1:13" ht="15" customHeight="1" x14ac:dyDescent="0.35">
      <c r="A120" s="1" t="s">
        <v>47</v>
      </c>
      <c r="B120" s="2" t="s">
        <v>48</v>
      </c>
      <c r="C120" s="1" t="s">
        <v>18</v>
      </c>
      <c r="D120" s="1" t="s">
        <v>12</v>
      </c>
      <c r="E120" s="24" t="s">
        <v>19</v>
      </c>
      <c r="F120" s="1" t="s">
        <v>138</v>
      </c>
      <c r="G120" s="1" t="s">
        <v>115</v>
      </c>
      <c r="H120" s="3">
        <f t="shared" si="19"/>
        <v>6.833333333333333</v>
      </c>
      <c r="I120" s="24" t="str">
        <f t="shared" si="11"/>
        <v>Late</v>
      </c>
      <c r="J120" s="1" t="str">
        <f t="shared" si="12"/>
        <v>Half Day</v>
      </c>
      <c r="K120" s="1" t="str">
        <f t="shared" si="13"/>
        <v>Half Day</v>
      </c>
      <c r="L120" s="1" t="str">
        <f t="shared" si="14"/>
        <v>✓ Match</v>
      </c>
      <c r="M120" s="24" t="str">
        <f t="shared" si="15"/>
        <v>CLEAN</v>
      </c>
    </row>
    <row r="121" spans="1:13" ht="15" customHeight="1" x14ac:dyDescent="0.35">
      <c r="A121" s="1" t="s">
        <v>45</v>
      </c>
      <c r="B121" s="2" t="s">
        <v>46</v>
      </c>
      <c r="C121" s="1" t="s">
        <v>18</v>
      </c>
      <c r="D121" s="1" t="s">
        <v>12</v>
      </c>
      <c r="E121" s="24" t="s">
        <v>37</v>
      </c>
      <c r="F121" s="1" t="s">
        <v>138</v>
      </c>
      <c r="G121" s="1" t="s">
        <v>21</v>
      </c>
      <c r="H121" s="3">
        <f t="shared" si="19"/>
        <v>10.333333333333334</v>
      </c>
      <c r="I121" s="24" t="str">
        <f t="shared" si="11"/>
        <v>Late</v>
      </c>
      <c r="J121" s="1" t="str">
        <f t="shared" si="12"/>
        <v>Full Day</v>
      </c>
      <c r="K121" s="1" t="str">
        <f t="shared" si="13"/>
        <v>Full Day</v>
      </c>
      <c r="L121" s="1" t="str">
        <f t="shared" si="14"/>
        <v>✓ Match</v>
      </c>
      <c r="M121" s="24" t="str">
        <f t="shared" si="15"/>
        <v>CLEAN</v>
      </c>
    </row>
    <row r="122" spans="1:13" ht="15" customHeight="1" x14ac:dyDescent="0.35">
      <c r="A122" s="1" t="s">
        <v>150</v>
      </c>
      <c r="B122" s="2" t="s">
        <v>151</v>
      </c>
      <c r="C122" s="1" t="s">
        <v>68</v>
      </c>
      <c r="D122" s="1" t="s">
        <v>12</v>
      </c>
      <c r="E122" s="24" t="s">
        <v>37</v>
      </c>
      <c r="F122" s="1" t="s">
        <v>43</v>
      </c>
      <c r="G122" s="1" t="s">
        <v>141</v>
      </c>
      <c r="H122" s="3">
        <f t="shared" si="19"/>
        <v>10.83333333333333</v>
      </c>
      <c r="I122" s="24" t="str">
        <f t="shared" si="11"/>
        <v>On Time</v>
      </c>
      <c r="J122" s="1" t="str">
        <f t="shared" si="12"/>
        <v>Full Day</v>
      </c>
      <c r="K122" s="1" t="str">
        <f t="shared" si="13"/>
        <v>Full Day</v>
      </c>
      <c r="L122" s="1" t="str">
        <f t="shared" si="14"/>
        <v>✓ Match</v>
      </c>
      <c r="M122" s="24" t="str">
        <f t="shared" si="15"/>
        <v>CLEAN</v>
      </c>
    </row>
    <row r="123" spans="1:13" ht="15" customHeight="1" x14ac:dyDescent="0.35">
      <c r="A123" s="1" t="s">
        <v>16</v>
      </c>
      <c r="B123" s="2" t="s">
        <v>17</v>
      </c>
      <c r="C123" s="1" t="s">
        <v>18</v>
      </c>
      <c r="D123" s="1" t="s">
        <v>126</v>
      </c>
      <c r="E123" s="24" t="s">
        <v>37</v>
      </c>
      <c r="F123" s="1" t="s">
        <v>38</v>
      </c>
      <c r="G123" s="1" t="s">
        <v>127</v>
      </c>
      <c r="H123" s="3">
        <f t="shared" si="19"/>
        <v>6.9999999999999982</v>
      </c>
      <c r="I123" s="24" t="str">
        <f t="shared" si="11"/>
        <v>Late</v>
      </c>
      <c r="J123" s="1" t="str">
        <f t="shared" si="12"/>
        <v>Half Day</v>
      </c>
      <c r="K123" s="1" t="str">
        <f t="shared" si="13"/>
        <v>Half Day</v>
      </c>
      <c r="L123" s="1" t="str">
        <f t="shared" si="14"/>
        <v>✓ Match</v>
      </c>
      <c r="M123" s="24" t="str">
        <f t="shared" si="15"/>
        <v>CLEAN</v>
      </c>
    </row>
    <row r="124" spans="1:13" ht="15" customHeight="1" x14ac:dyDescent="0.35">
      <c r="A124" s="1" t="s">
        <v>112</v>
      </c>
      <c r="B124" s="2" t="s">
        <v>113</v>
      </c>
      <c r="C124" s="1" t="s">
        <v>30</v>
      </c>
      <c r="D124" s="1" t="s">
        <v>126</v>
      </c>
      <c r="E124" s="24" t="s">
        <v>19</v>
      </c>
      <c r="F124" s="1" t="s">
        <v>56</v>
      </c>
      <c r="G124" s="1" t="s">
        <v>27</v>
      </c>
      <c r="H124" s="3">
        <f t="shared" si="19"/>
        <v>10.500000000000002</v>
      </c>
      <c r="I124" s="24" t="str">
        <f t="shared" si="11"/>
        <v>Late</v>
      </c>
      <c r="J124" s="1" t="str">
        <f t="shared" si="12"/>
        <v>Full Day</v>
      </c>
      <c r="K124" s="1" t="str">
        <f t="shared" si="13"/>
        <v>Full Day</v>
      </c>
      <c r="L124" s="1" t="str">
        <f t="shared" si="14"/>
        <v>✓ Match</v>
      </c>
      <c r="M124" s="24" t="str">
        <f t="shared" si="15"/>
        <v>CLEAN</v>
      </c>
    </row>
    <row r="125" spans="1:13" ht="15" customHeight="1" x14ac:dyDescent="0.35">
      <c r="A125" s="1" t="s">
        <v>105</v>
      </c>
      <c r="B125" s="2" t="s">
        <v>106</v>
      </c>
      <c r="C125" s="1" t="s">
        <v>11</v>
      </c>
      <c r="D125" s="1" t="s">
        <v>126</v>
      </c>
      <c r="E125" s="24" t="s">
        <v>19</v>
      </c>
      <c r="F125" s="1" t="s">
        <v>140</v>
      </c>
      <c r="G125" s="1" t="s">
        <v>141</v>
      </c>
      <c r="H125" s="3">
        <f t="shared" si="19"/>
        <v>9.5833333333333321</v>
      </c>
      <c r="I125" s="24" t="str">
        <f t="shared" si="11"/>
        <v>Late</v>
      </c>
      <c r="J125" s="1" t="str">
        <f t="shared" si="12"/>
        <v>Full Day</v>
      </c>
      <c r="K125" s="1" t="str">
        <f t="shared" si="13"/>
        <v>Full Day</v>
      </c>
      <c r="L125" s="1" t="str">
        <f t="shared" si="14"/>
        <v>✓ Match</v>
      </c>
      <c r="M125" s="24" t="str">
        <f t="shared" si="15"/>
        <v>CLEAN</v>
      </c>
    </row>
    <row r="126" spans="1:13" ht="15" customHeight="1" x14ac:dyDescent="0.35">
      <c r="A126" s="1" t="s">
        <v>98</v>
      </c>
      <c r="B126" s="2" t="s">
        <v>99</v>
      </c>
      <c r="C126" s="1" t="s">
        <v>18</v>
      </c>
      <c r="D126" s="1" t="s">
        <v>126</v>
      </c>
      <c r="E126" s="24" t="s">
        <v>19</v>
      </c>
      <c r="F126" s="1" t="s">
        <v>137</v>
      </c>
      <c r="G126" s="1" t="s">
        <v>27</v>
      </c>
      <c r="H126" s="3">
        <f t="shared" si="19"/>
        <v>11.666666666666666</v>
      </c>
      <c r="I126" s="24" t="str">
        <f t="shared" si="11"/>
        <v>Late</v>
      </c>
      <c r="J126" s="1" t="str">
        <f t="shared" si="12"/>
        <v>Full Day</v>
      </c>
      <c r="K126" s="1" t="str">
        <f t="shared" si="13"/>
        <v>Full Day</v>
      </c>
      <c r="L126" s="1" t="str">
        <f t="shared" si="14"/>
        <v>✓ Match</v>
      </c>
      <c r="M126" s="24" t="str">
        <f t="shared" si="15"/>
        <v>CLEAN</v>
      </c>
    </row>
    <row r="127" spans="1:13" ht="15" customHeight="1" x14ac:dyDescent="0.35">
      <c r="A127" s="1" t="s">
        <v>117</v>
      </c>
      <c r="B127" s="2" t="s">
        <v>118</v>
      </c>
      <c r="C127" s="1" t="s">
        <v>30</v>
      </c>
      <c r="D127" s="1" t="s">
        <v>126</v>
      </c>
      <c r="E127" s="24" t="s">
        <v>13</v>
      </c>
      <c r="F127" s="1" t="s">
        <v>14</v>
      </c>
      <c r="G127" s="1" t="s">
        <v>15</v>
      </c>
      <c r="H127" s="3">
        <v>0</v>
      </c>
      <c r="I127" s="24" t="str">
        <f t="shared" si="11"/>
        <v/>
      </c>
      <c r="J127" s="1" t="str">
        <f t="shared" si="12"/>
        <v>Absent</v>
      </c>
      <c r="K127" s="1" t="str">
        <f t="shared" si="13"/>
        <v>N/A</v>
      </c>
      <c r="L127" s="1" t="str">
        <f t="shared" si="14"/>
        <v>⚠ Mismatch</v>
      </c>
      <c r="M127" s="24" t="str">
        <f t="shared" si="15"/>
        <v>REVIEW</v>
      </c>
    </row>
    <row r="128" spans="1:13" ht="15" customHeight="1" x14ac:dyDescent="0.35">
      <c r="A128" s="1" t="s">
        <v>142</v>
      </c>
      <c r="B128" s="2" t="s">
        <v>143</v>
      </c>
      <c r="C128" s="1" t="s">
        <v>18</v>
      </c>
      <c r="D128" s="1" t="s">
        <v>126</v>
      </c>
      <c r="E128" s="24" t="s">
        <v>19</v>
      </c>
      <c r="F128" s="1" t="s">
        <v>129</v>
      </c>
      <c r="G128" s="1" t="s">
        <v>127</v>
      </c>
      <c r="H128" s="3">
        <f>IFERROR(MOD(TIMEVALUE(G128)-TIMEVALUE(F128),1)*24,0)</f>
        <v>9.3333333333333321</v>
      </c>
      <c r="I128" s="24" t="str">
        <f t="shared" si="11"/>
        <v>On Time</v>
      </c>
      <c r="J128" s="1" t="str">
        <f t="shared" si="12"/>
        <v>Full Day</v>
      </c>
      <c r="K128" s="1" t="str">
        <f t="shared" si="13"/>
        <v>Full Day</v>
      </c>
      <c r="L128" s="1" t="str">
        <f t="shared" si="14"/>
        <v>✓ Match</v>
      </c>
      <c r="M128" s="24" t="str">
        <f t="shared" si="15"/>
        <v>CLEAN</v>
      </c>
    </row>
    <row r="129" spans="1:13" ht="15" customHeight="1" x14ac:dyDescent="0.35">
      <c r="A129" s="1" t="s">
        <v>91</v>
      </c>
      <c r="B129" s="2" t="s">
        <v>92</v>
      </c>
      <c r="C129" s="1" t="s">
        <v>18</v>
      </c>
      <c r="D129" s="1" t="s">
        <v>126</v>
      </c>
      <c r="E129" s="24" t="s">
        <v>19</v>
      </c>
      <c r="F129" s="1" t="s">
        <v>129</v>
      </c>
      <c r="G129" s="1" t="s">
        <v>153</v>
      </c>
      <c r="H129" s="3">
        <f>IFERROR(MOD(TIMEVALUE(G129)-TIMEVALUE(F129),1)*24,0)</f>
        <v>11.333333333333332</v>
      </c>
      <c r="I129" s="24" t="str">
        <f t="shared" si="11"/>
        <v>On Time</v>
      </c>
      <c r="J129" s="1" t="str">
        <f t="shared" si="12"/>
        <v>Full Day</v>
      </c>
      <c r="K129" s="1" t="str">
        <f t="shared" si="13"/>
        <v>Full Day</v>
      </c>
      <c r="L129" s="1" t="str">
        <f t="shared" si="14"/>
        <v>✓ Match</v>
      </c>
      <c r="M129" s="24" t="str">
        <f t="shared" si="15"/>
        <v>CLEAN</v>
      </c>
    </row>
    <row r="130" spans="1:13" ht="15" customHeight="1" x14ac:dyDescent="0.35">
      <c r="A130" s="1" t="s">
        <v>9</v>
      </c>
      <c r="B130" s="2" t="s">
        <v>10</v>
      </c>
      <c r="C130" s="1" t="s">
        <v>11</v>
      </c>
      <c r="D130" s="1" t="s">
        <v>126</v>
      </c>
      <c r="E130" s="24" t="s">
        <v>19</v>
      </c>
      <c r="F130" s="1" t="s">
        <v>20</v>
      </c>
      <c r="G130" s="1" t="s">
        <v>162</v>
      </c>
      <c r="H130" s="3">
        <f>IFERROR(MOD(TIMEVALUE(G130)-TIMEVALUE(F130),1)*24,0)</f>
        <v>6.5833333333333357</v>
      </c>
      <c r="I130" s="24" t="str">
        <f t="shared" si="11"/>
        <v>On Time</v>
      </c>
      <c r="J130" s="1" t="str">
        <f t="shared" si="12"/>
        <v>Half Day</v>
      </c>
      <c r="K130" s="1" t="str">
        <f t="shared" si="13"/>
        <v>Half Day</v>
      </c>
      <c r="L130" s="1" t="str">
        <f t="shared" si="14"/>
        <v>✓ Match</v>
      </c>
      <c r="M130" s="24" t="str">
        <f t="shared" si="15"/>
        <v>CLEAN</v>
      </c>
    </row>
    <row r="131" spans="1:13" ht="15" customHeight="1" x14ac:dyDescent="0.35">
      <c r="A131" s="1" t="s">
        <v>110</v>
      </c>
      <c r="B131" s="2" t="s">
        <v>111</v>
      </c>
      <c r="C131" s="1" t="s">
        <v>68</v>
      </c>
      <c r="D131" s="1" t="s">
        <v>126</v>
      </c>
      <c r="E131" s="24" t="s">
        <v>19</v>
      </c>
      <c r="F131" s="1" t="s">
        <v>163</v>
      </c>
      <c r="G131" s="1" t="s">
        <v>146</v>
      </c>
      <c r="H131" s="3">
        <f>IFERROR(MOD(TIMEVALUE(G131)-TIMEVALUE(F131),1)*24,0)</f>
        <v>6.8333333333333321</v>
      </c>
      <c r="I131" s="24" t="str">
        <f t="shared" ref="I131:I194" si="20">IF(F131="No Login","",IF(TIMEVALUE(F131)&gt;TIMEVALUE("09:00"),"Late","On Time"))</f>
        <v>On Time</v>
      </c>
      <c r="J131" s="1" t="str">
        <f t="shared" ref="J131:J194" si="21">IF(E131="Absent","Absent",IF(H131&gt;=8,"Full Day",IF(H131&gt;=4,"Half Day","Short")))</f>
        <v>Half Day</v>
      </c>
      <c r="K131" s="1" t="str">
        <f t="shared" ref="K131:K194" si="22">IF(E131="Absent","N/A",IF(H131&gt;=8,"Full Day",IF(H131&gt;=4,"Half Day","Short")))</f>
        <v>Half Day</v>
      </c>
      <c r="L131" s="1" t="str">
        <f t="shared" ref="L131:L194" si="23">IF(J131=K131,"✓ Match","⚠ Mismatch")</f>
        <v>✓ Match</v>
      </c>
      <c r="M131" s="24" t="str">
        <f t="shared" ref="M131:M194" si="24">IF(AND(J131=K131,OR(E131="Present",E131="Work From Home",E131="Absent")),"CLEAN","REVIEW")</f>
        <v>CLEAN</v>
      </c>
    </row>
    <row r="132" spans="1:13" ht="15" customHeight="1" x14ac:dyDescent="0.35">
      <c r="A132" s="1" t="s">
        <v>120</v>
      </c>
      <c r="B132" s="2" t="s">
        <v>121</v>
      </c>
      <c r="C132" s="1" t="s">
        <v>11</v>
      </c>
      <c r="D132" s="1" t="s">
        <v>126</v>
      </c>
      <c r="E132" s="24" t="s">
        <v>19</v>
      </c>
      <c r="F132" s="1" t="s">
        <v>75</v>
      </c>
      <c r="G132" s="1" t="s">
        <v>162</v>
      </c>
      <c r="H132" s="3">
        <f>IFERROR(MOD(TIMEVALUE(G132)-TIMEVALUE(F132),1)*24,0)</f>
        <v>7.0833333333333348</v>
      </c>
      <c r="I132" s="24" t="str">
        <f t="shared" si="20"/>
        <v>On Time</v>
      </c>
      <c r="J132" s="1" t="str">
        <f t="shared" si="21"/>
        <v>Half Day</v>
      </c>
      <c r="K132" s="1" t="str">
        <f t="shared" si="22"/>
        <v>Half Day</v>
      </c>
      <c r="L132" s="1" t="str">
        <f t="shared" si="23"/>
        <v>✓ Match</v>
      </c>
      <c r="M132" s="24" t="str">
        <f t="shared" si="24"/>
        <v>CLEAN</v>
      </c>
    </row>
    <row r="133" spans="1:13" ht="15" customHeight="1" x14ac:dyDescent="0.35">
      <c r="A133" s="1" t="s">
        <v>66</v>
      </c>
      <c r="B133" s="2" t="s">
        <v>67</v>
      </c>
      <c r="C133" s="1" t="s">
        <v>68</v>
      </c>
      <c r="D133" s="1" t="s">
        <v>126</v>
      </c>
      <c r="E133" s="24" t="s">
        <v>13</v>
      </c>
      <c r="F133" s="1" t="s">
        <v>14</v>
      </c>
      <c r="G133" s="1" t="s">
        <v>15</v>
      </c>
      <c r="H133" s="3">
        <v>0</v>
      </c>
      <c r="I133" s="24" t="str">
        <f t="shared" si="20"/>
        <v/>
      </c>
      <c r="J133" s="1" t="str">
        <f t="shared" si="21"/>
        <v>Absent</v>
      </c>
      <c r="K133" s="1" t="str">
        <f t="shared" si="22"/>
        <v>N/A</v>
      </c>
      <c r="L133" s="1" t="str">
        <f t="shared" si="23"/>
        <v>⚠ Mismatch</v>
      </c>
      <c r="M133" s="24" t="str">
        <f t="shared" si="24"/>
        <v>REVIEW</v>
      </c>
    </row>
    <row r="134" spans="1:13" ht="15" customHeight="1" x14ac:dyDescent="0.35">
      <c r="A134" s="1" t="s">
        <v>22</v>
      </c>
      <c r="B134" s="2" t="s">
        <v>23</v>
      </c>
      <c r="C134" s="1" t="s">
        <v>24</v>
      </c>
      <c r="D134" s="1" t="s">
        <v>126</v>
      </c>
      <c r="E134" s="24" t="s">
        <v>19</v>
      </c>
      <c r="F134" s="1" t="s">
        <v>93</v>
      </c>
      <c r="G134" s="1" t="s">
        <v>153</v>
      </c>
      <c r="H134" s="3">
        <f>IFERROR(MOD(TIMEVALUE(G134)-TIMEVALUE(F134),1)*24,0)</f>
        <v>10</v>
      </c>
      <c r="I134" s="24" t="str">
        <f t="shared" si="20"/>
        <v>Late</v>
      </c>
      <c r="J134" s="1" t="str">
        <f t="shared" si="21"/>
        <v>Full Day</v>
      </c>
      <c r="K134" s="1" t="str">
        <f t="shared" si="22"/>
        <v>Full Day</v>
      </c>
      <c r="L134" s="1" t="str">
        <f t="shared" si="23"/>
        <v>✓ Match</v>
      </c>
      <c r="M134" s="24" t="str">
        <f t="shared" si="24"/>
        <v>CLEAN</v>
      </c>
    </row>
    <row r="135" spans="1:13" ht="15" customHeight="1" x14ac:dyDescent="0.35">
      <c r="A135" s="1" t="s">
        <v>72</v>
      </c>
      <c r="B135" s="2" t="s">
        <v>73</v>
      </c>
      <c r="C135" s="1" t="s">
        <v>68</v>
      </c>
      <c r="D135" s="1" t="s">
        <v>126</v>
      </c>
      <c r="E135" s="24" t="s">
        <v>37</v>
      </c>
      <c r="F135" s="1" t="s">
        <v>122</v>
      </c>
      <c r="G135" s="1" t="s">
        <v>35</v>
      </c>
      <c r="H135" s="3">
        <f>IFERROR(MOD(TIMEVALUE(G135)-TIMEVALUE(F135),1)*24,0)</f>
        <v>9.8333333333333339</v>
      </c>
      <c r="I135" s="24" t="str">
        <f t="shared" si="20"/>
        <v>Late</v>
      </c>
      <c r="J135" s="1" t="str">
        <f t="shared" si="21"/>
        <v>Full Day</v>
      </c>
      <c r="K135" s="1" t="str">
        <f t="shared" si="22"/>
        <v>Full Day</v>
      </c>
      <c r="L135" s="1" t="str">
        <f t="shared" si="23"/>
        <v>✓ Match</v>
      </c>
      <c r="M135" s="24" t="str">
        <f t="shared" si="24"/>
        <v>CLEAN</v>
      </c>
    </row>
    <row r="136" spans="1:13" ht="15" customHeight="1" x14ac:dyDescent="0.35">
      <c r="A136" s="1" t="s">
        <v>95</v>
      </c>
      <c r="B136" s="2" t="s">
        <v>96</v>
      </c>
      <c r="C136" s="1" t="s">
        <v>68</v>
      </c>
      <c r="D136" s="1" t="s">
        <v>126</v>
      </c>
      <c r="E136" s="24" t="s">
        <v>19</v>
      </c>
      <c r="F136" s="1" t="s">
        <v>70</v>
      </c>
      <c r="G136" s="1" t="s">
        <v>39</v>
      </c>
      <c r="H136" s="3">
        <f>IFERROR(MOD(TIMEVALUE(G136)-TIMEVALUE(F136),1)*24,0)</f>
        <v>8</v>
      </c>
      <c r="I136" s="24" t="str">
        <f t="shared" si="20"/>
        <v>Late</v>
      </c>
      <c r="J136" s="1" t="str">
        <f t="shared" si="21"/>
        <v>Full Day</v>
      </c>
      <c r="K136" s="1" t="str">
        <f t="shared" si="22"/>
        <v>Full Day</v>
      </c>
      <c r="L136" s="1" t="str">
        <f t="shared" si="23"/>
        <v>✓ Match</v>
      </c>
      <c r="M136" s="24" t="str">
        <f t="shared" si="24"/>
        <v>CLEAN</v>
      </c>
    </row>
    <row r="137" spans="1:13" ht="15" customHeight="1" x14ac:dyDescent="0.35">
      <c r="A137" s="1" t="s">
        <v>40</v>
      </c>
      <c r="B137" s="2" t="s">
        <v>41</v>
      </c>
      <c r="C137" s="1" t="s">
        <v>24</v>
      </c>
      <c r="D137" s="1" t="s">
        <v>126</v>
      </c>
      <c r="E137" s="24" t="s">
        <v>19</v>
      </c>
      <c r="F137" s="1" t="s">
        <v>137</v>
      </c>
      <c r="G137" s="1" t="s">
        <v>123</v>
      </c>
      <c r="H137" s="3">
        <f>IFERROR(MOD(TIMEVALUE(G137)-TIMEVALUE(F137),1)*24,0)</f>
        <v>11.083333333333332</v>
      </c>
      <c r="I137" s="24" t="str">
        <f t="shared" si="20"/>
        <v>Late</v>
      </c>
      <c r="J137" s="1" t="str">
        <f t="shared" si="21"/>
        <v>Full Day</v>
      </c>
      <c r="K137" s="1" t="str">
        <f t="shared" si="22"/>
        <v>Full Day</v>
      </c>
      <c r="L137" s="1" t="str">
        <f t="shared" si="23"/>
        <v>✓ Match</v>
      </c>
      <c r="M137" s="24" t="str">
        <f t="shared" si="24"/>
        <v>CLEAN</v>
      </c>
    </row>
    <row r="138" spans="1:13" ht="15" customHeight="1" x14ac:dyDescent="0.35">
      <c r="A138" s="1" t="s">
        <v>79</v>
      </c>
      <c r="B138" s="2" t="s">
        <v>80</v>
      </c>
      <c r="C138" s="1" t="s">
        <v>18</v>
      </c>
      <c r="D138" s="1" t="s">
        <v>126</v>
      </c>
      <c r="E138" s="24" t="s">
        <v>19</v>
      </c>
      <c r="F138" s="1" t="s">
        <v>137</v>
      </c>
      <c r="G138" s="1" t="s">
        <v>27</v>
      </c>
      <c r="H138" s="3">
        <f>IFERROR(MOD(TIMEVALUE(G138)-TIMEVALUE(F138),1)*24,0)</f>
        <v>11.666666666666666</v>
      </c>
      <c r="I138" s="24" t="str">
        <f t="shared" si="20"/>
        <v>Late</v>
      </c>
      <c r="J138" s="1" t="str">
        <f t="shared" si="21"/>
        <v>Full Day</v>
      </c>
      <c r="K138" s="1" t="str">
        <f t="shared" si="22"/>
        <v>Full Day</v>
      </c>
      <c r="L138" s="1" t="str">
        <f t="shared" si="23"/>
        <v>✓ Match</v>
      </c>
      <c r="M138" s="24" t="str">
        <f t="shared" si="24"/>
        <v>CLEAN</v>
      </c>
    </row>
    <row r="139" spans="1:13" ht="15" customHeight="1" x14ac:dyDescent="0.35">
      <c r="A139" s="1" t="s">
        <v>150</v>
      </c>
      <c r="B139" s="2" t="s">
        <v>151</v>
      </c>
      <c r="C139" s="1" t="s">
        <v>68</v>
      </c>
      <c r="D139" s="1" t="s">
        <v>126</v>
      </c>
      <c r="E139" s="24" t="s">
        <v>13</v>
      </c>
      <c r="F139" s="1" t="s">
        <v>14</v>
      </c>
      <c r="G139" s="1" t="s">
        <v>15</v>
      </c>
      <c r="H139" s="3">
        <v>0</v>
      </c>
      <c r="I139" s="24" t="str">
        <f t="shared" si="20"/>
        <v/>
      </c>
      <c r="J139" s="1" t="str">
        <f t="shared" si="21"/>
        <v>Absent</v>
      </c>
      <c r="K139" s="1" t="str">
        <f t="shared" si="22"/>
        <v>N/A</v>
      </c>
      <c r="L139" s="1" t="str">
        <f t="shared" si="23"/>
        <v>⚠ Mismatch</v>
      </c>
      <c r="M139" s="24" t="str">
        <f t="shared" si="24"/>
        <v>REVIEW</v>
      </c>
    </row>
    <row r="140" spans="1:13" ht="15" customHeight="1" x14ac:dyDescent="0.35">
      <c r="A140" s="1" t="s">
        <v>53</v>
      </c>
      <c r="B140" s="2" t="s">
        <v>54</v>
      </c>
      <c r="C140" s="1" t="s">
        <v>18</v>
      </c>
      <c r="D140" s="1" t="s">
        <v>126</v>
      </c>
      <c r="E140" s="24" t="s">
        <v>19</v>
      </c>
      <c r="F140" s="1" t="s">
        <v>152</v>
      </c>
      <c r="G140" s="1" t="s">
        <v>153</v>
      </c>
      <c r="H140" s="3">
        <f>IFERROR(MOD(TIMEVALUE(G140)-TIMEVALUE(F140),1)*24,0)</f>
        <v>9.8333333333333321</v>
      </c>
      <c r="I140" s="24" t="str">
        <f t="shared" si="20"/>
        <v>Late</v>
      </c>
      <c r="J140" s="1" t="str">
        <f t="shared" si="21"/>
        <v>Full Day</v>
      </c>
      <c r="K140" s="1" t="str">
        <f t="shared" si="22"/>
        <v>Full Day</v>
      </c>
      <c r="L140" s="1" t="str">
        <f t="shared" si="23"/>
        <v>✓ Match</v>
      </c>
      <c r="M140" s="24" t="str">
        <f t="shared" si="24"/>
        <v>CLEAN</v>
      </c>
    </row>
    <row r="141" spans="1:13" ht="15" customHeight="1" x14ac:dyDescent="0.35">
      <c r="A141" s="1" t="s">
        <v>124</v>
      </c>
      <c r="B141" s="2" t="s">
        <v>125</v>
      </c>
      <c r="C141" s="1" t="s">
        <v>68</v>
      </c>
      <c r="D141" s="1" t="s">
        <v>126</v>
      </c>
      <c r="E141" s="24" t="s">
        <v>19</v>
      </c>
      <c r="F141" s="1" t="s">
        <v>140</v>
      </c>
      <c r="G141" s="1" t="s">
        <v>154</v>
      </c>
      <c r="H141" s="3">
        <f>IFERROR(MOD(TIMEVALUE(G141)-TIMEVALUE(F141),1)*24,0)</f>
        <v>6.5833333333333313</v>
      </c>
      <c r="I141" s="24" t="str">
        <f t="shared" si="20"/>
        <v>Late</v>
      </c>
      <c r="J141" s="1" t="str">
        <f t="shared" si="21"/>
        <v>Half Day</v>
      </c>
      <c r="K141" s="1" t="str">
        <f t="shared" si="22"/>
        <v>Half Day</v>
      </c>
      <c r="L141" s="1" t="str">
        <f t="shared" si="23"/>
        <v>✓ Match</v>
      </c>
      <c r="M141" s="24" t="str">
        <f t="shared" si="24"/>
        <v>CLEAN</v>
      </c>
    </row>
    <row r="142" spans="1:13" ht="15" customHeight="1" x14ac:dyDescent="0.35">
      <c r="A142" s="1" t="s">
        <v>134</v>
      </c>
      <c r="B142" s="2" t="s">
        <v>135</v>
      </c>
      <c r="C142" s="1" t="s">
        <v>68</v>
      </c>
      <c r="D142" s="1" t="s">
        <v>126</v>
      </c>
      <c r="E142" s="24" t="s">
        <v>19</v>
      </c>
      <c r="F142" s="1" t="s">
        <v>122</v>
      </c>
      <c r="G142" s="1" t="s">
        <v>141</v>
      </c>
      <c r="H142" s="3">
        <f>IFERROR(MOD(TIMEVALUE(G142)-TIMEVALUE(F142),1)*24,0)</f>
        <v>9.9999999999999982</v>
      </c>
      <c r="I142" s="24" t="str">
        <f t="shared" si="20"/>
        <v>Late</v>
      </c>
      <c r="J142" s="1" t="str">
        <f t="shared" si="21"/>
        <v>Full Day</v>
      </c>
      <c r="K142" s="1" t="str">
        <f t="shared" si="22"/>
        <v>Full Day</v>
      </c>
      <c r="L142" s="1" t="str">
        <f t="shared" si="23"/>
        <v>✓ Match</v>
      </c>
      <c r="M142" s="24" t="str">
        <f t="shared" si="24"/>
        <v>CLEAN</v>
      </c>
    </row>
    <row r="143" spans="1:13" ht="15" customHeight="1" x14ac:dyDescent="0.35">
      <c r="A143" s="1" t="s">
        <v>82</v>
      </c>
      <c r="B143" s="2" t="s">
        <v>83</v>
      </c>
      <c r="C143" s="1" t="s">
        <v>68</v>
      </c>
      <c r="D143" s="1" t="s">
        <v>126</v>
      </c>
      <c r="E143" s="24" t="s">
        <v>19</v>
      </c>
      <c r="F143" s="1" t="s">
        <v>64</v>
      </c>
      <c r="G143" s="1" t="s">
        <v>97</v>
      </c>
      <c r="H143" s="3">
        <f>IFERROR(MOD(TIMEVALUE(G143)-TIMEVALUE(F143),1)*24,0)</f>
        <v>12.166666666666666</v>
      </c>
      <c r="I143" s="24" t="str">
        <f t="shared" si="20"/>
        <v>On Time</v>
      </c>
      <c r="J143" s="1" t="str">
        <f t="shared" si="21"/>
        <v>Full Day</v>
      </c>
      <c r="K143" s="1" t="str">
        <f t="shared" si="22"/>
        <v>Full Day</v>
      </c>
      <c r="L143" s="1" t="str">
        <f t="shared" si="23"/>
        <v>✓ Match</v>
      </c>
      <c r="M143" s="24" t="str">
        <f t="shared" si="24"/>
        <v>CLEAN</v>
      </c>
    </row>
    <row r="144" spans="1:13" ht="15" customHeight="1" x14ac:dyDescent="0.35">
      <c r="A144" s="1" t="s">
        <v>130</v>
      </c>
      <c r="B144" s="2" t="s">
        <v>131</v>
      </c>
      <c r="C144" s="1" t="s">
        <v>11</v>
      </c>
      <c r="D144" s="1" t="s">
        <v>126</v>
      </c>
      <c r="E144" s="24" t="s">
        <v>13</v>
      </c>
      <c r="F144" s="1" t="s">
        <v>14</v>
      </c>
      <c r="G144" s="1" t="s">
        <v>15</v>
      </c>
      <c r="H144" s="3">
        <v>0</v>
      </c>
      <c r="I144" s="24" t="str">
        <f t="shared" si="20"/>
        <v/>
      </c>
      <c r="J144" s="1" t="str">
        <f t="shared" si="21"/>
        <v>Absent</v>
      </c>
      <c r="K144" s="1" t="str">
        <f t="shared" si="22"/>
        <v>N/A</v>
      </c>
      <c r="L144" s="1" t="str">
        <f t="shared" si="23"/>
        <v>⚠ Mismatch</v>
      </c>
      <c r="M144" s="24" t="str">
        <f t="shared" si="24"/>
        <v>REVIEW</v>
      </c>
    </row>
    <row r="145" spans="1:13" ht="15" customHeight="1" x14ac:dyDescent="0.35">
      <c r="A145" s="1" t="s">
        <v>45</v>
      </c>
      <c r="B145" s="2" t="s">
        <v>46</v>
      </c>
      <c r="C145" s="1" t="s">
        <v>18</v>
      </c>
      <c r="D145" s="1" t="s">
        <v>126</v>
      </c>
      <c r="E145" s="24" t="s">
        <v>19</v>
      </c>
      <c r="F145" s="1" t="s">
        <v>84</v>
      </c>
      <c r="G145" s="1" t="s">
        <v>123</v>
      </c>
      <c r="H145" s="3">
        <f t="shared" ref="H145:H156" si="25">IFERROR(MOD(TIMEVALUE(G145)-TIMEVALUE(F145),1)*24,0)</f>
        <v>10.916666666666666</v>
      </c>
      <c r="I145" s="24" t="str">
        <f t="shared" si="20"/>
        <v>Late</v>
      </c>
      <c r="J145" s="1" t="str">
        <f t="shared" si="21"/>
        <v>Full Day</v>
      </c>
      <c r="K145" s="1" t="str">
        <f t="shared" si="22"/>
        <v>Full Day</v>
      </c>
      <c r="L145" s="1" t="str">
        <f t="shared" si="23"/>
        <v>✓ Match</v>
      </c>
      <c r="M145" s="24" t="str">
        <f t="shared" si="24"/>
        <v>CLEAN</v>
      </c>
    </row>
    <row r="146" spans="1:13" ht="15" customHeight="1" x14ac:dyDescent="0.35">
      <c r="A146" s="1" t="s">
        <v>158</v>
      </c>
      <c r="B146" s="2" t="s">
        <v>159</v>
      </c>
      <c r="C146" s="1" t="s">
        <v>11</v>
      </c>
      <c r="D146" s="1" t="s">
        <v>126</v>
      </c>
      <c r="E146" s="24" t="s">
        <v>19</v>
      </c>
      <c r="F146" s="1" t="s">
        <v>43</v>
      </c>
      <c r="G146" s="1" t="s">
        <v>108</v>
      </c>
      <c r="H146" s="3">
        <f t="shared" si="25"/>
        <v>11.999999999999998</v>
      </c>
      <c r="I146" s="24" t="str">
        <f t="shared" si="20"/>
        <v>On Time</v>
      </c>
      <c r="J146" s="1" t="str">
        <f t="shared" si="21"/>
        <v>Full Day</v>
      </c>
      <c r="K146" s="1" t="str">
        <f t="shared" si="22"/>
        <v>Full Day</v>
      </c>
      <c r="L146" s="1" t="str">
        <f t="shared" si="23"/>
        <v>✓ Match</v>
      </c>
      <c r="M146" s="24" t="str">
        <f t="shared" si="24"/>
        <v>CLEAN</v>
      </c>
    </row>
    <row r="147" spans="1:13" ht="15" customHeight="1" x14ac:dyDescent="0.35">
      <c r="A147" s="1" t="s">
        <v>28</v>
      </c>
      <c r="B147" s="2" t="s">
        <v>29</v>
      </c>
      <c r="C147" s="1" t="s">
        <v>30</v>
      </c>
      <c r="D147" s="1" t="s">
        <v>126</v>
      </c>
      <c r="E147" s="24" t="s">
        <v>19</v>
      </c>
      <c r="F147" s="1" t="s">
        <v>122</v>
      </c>
      <c r="G147" s="1" t="s">
        <v>108</v>
      </c>
      <c r="H147" s="3">
        <f t="shared" si="25"/>
        <v>11.166666666666666</v>
      </c>
      <c r="I147" s="24" t="str">
        <f t="shared" si="20"/>
        <v>Late</v>
      </c>
      <c r="J147" s="1" t="str">
        <f t="shared" si="21"/>
        <v>Full Day</v>
      </c>
      <c r="K147" s="1" t="str">
        <f t="shared" si="22"/>
        <v>Full Day</v>
      </c>
      <c r="L147" s="1" t="str">
        <f t="shared" si="23"/>
        <v>✓ Match</v>
      </c>
      <c r="M147" s="24" t="str">
        <f t="shared" si="24"/>
        <v>CLEAN</v>
      </c>
    </row>
    <row r="148" spans="1:13" ht="15" customHeight="1" x14ac:dyDescent="0.35">
      <c r="A148" s="1" t="s">
        <v>76</v>
      </c>
      <c r="B148" s="2" t="s">
        <v>77</v>
      </c>
      <c r="C148" s="1" t="s">
        <v>68</v>
      </c>
      <c r="D148" s="1" t="s">
        <v>126</v>
      </c>
      <c r="E148" s="24" t="s">
        <v>19</v>
      </c>
      <c r="F148" s="1" t="s">
        <v>56</v>
      </c>
      <c r="G148" s="1" t="s">
        <v>27</v>
      </c>
      <c r="H148" s="3">
        <f t="shared" si="25"/>
        <v>10.500000000000002</v>
      </c>
      <c r="I148" s="24" t="str">
        <f t="shared" si="20"/>
        <v>Late</v>
      </c>
      <c r="J148" s="1" t="str">
        <f t="shared" si="21"/>
        <v>Full Day</v>
      </c>
      <c r="K148" s="1" t="str">
        <f t="shared" si="22"/>
        <v>Full Day</v>
      </c>
      <c r="L148" s="1" t="str">
        <f t="shared" si="23"/>
        <v>✓ Match</v>
      </c>
      <c r="M148" s="24" t="str">
        <f t="shared" si="24"/>
        <v>CLEAN</v>
      </c>
    </row>
    <row r="149" spans="1:13" ht="15" customHeight="1" x14ac:dyDescent="0.35">
      <c r="A149" s="1" t="s">
        <v>61</v>
      </c>
      <c r="B149" s="2" t="s">
        <v>62</v>
      </c>
      <c r="C149" s="1" t="s">
        <v>11</v>
      </c>
      <c r="D149" s="1" t="s">
        <v>126</v>
      </c>
      <c r="E149" s="24" t="s">
        <v>19</v>
      </c>
      <c r="F149" s="1" t="s">
        <v>26</v>
      </c>
      <c r="G149" s="1" t="s">
        <v>50</v>
      </c>
      <c r="H149" s="3">
        <f t="shared" si="25"/>
        <v>6.9166666666666679</v>
      </c>
      <c r="I149" s="24" t="str">
        <f t="shared" si="20"/>
        <v>Late</v>
      </c>
      <c r="J149" s="1" t="str">
        <f t="shared" si="21"/>
        <v>Half Day</v>
      </c>
      <c r="K149" s="1" t="str">
        <f t="shared" si="22"/>
        <v>Half Day</v>
      </c>
      <c r="L149" s="1" t="str">
        <f t="shared" si="23"/>
        <v>✓ Match</v>
      </c>
      <c r="M149" s="24" t="str">
        <f t="shared" si="24"/>
        <v>CLEAN</v>
      </c>
    </row>
    <row r="150" spans="1:13" ht="15" customHeight="1" x14ac:dyDescent="0.35">
      <c r="A150" s="1" t="s">
        <v>47</v>
      </c>
      <c r="B150" s="2" t="s">
        <v>48</v>
      </c>
      <c r="C150" s="1" t="s">
        <v>18</v>
      </c>
      <c r="D150" s="1" t="s">
        <v>126</v>
      </c>
      <c r="E150" s="24" t="s">
        <v>19</v>
      </c>
      <c r="F150" s="1" t="s">
        <v>138</v>
      </c>
      <c r="G150" s="1" t="s">
        <v>60</v>
      </c>
      <c r="H150" s="3">
        <f t="shared" si="25"/>
        <v>9.8333333333333321</v>
      </c>
      <c r="I150" s="24" t="str">
        <f t="shared" si="20"/>
        <v>Late</v>
      </c>
      <c r="J150" s="1" t="str">
        <f t="shared" si="21"/>
        <v>Full Day</v>
      </c>
      <c r="K150" s="1" t="str">
        <f t="shared" si="22"/>
        <v>Full Day</v>
      </c>
      <c r="L150" s="1" t="str">
        <f t="shared" si="23"/>
        <v>✓ Match</v>
      </c>
      <c r="M150" s="24" t="str">
        <f t="shared" si="24"/>
        <v>CLEAN</v>
      </c>
    </row>
    <row r="151" spans="1:13" ht="15" customHeight="1" x14ac:dyDescent="0.35">
      <c r="A151" s="1" t="s">
        <v>57</v>
      </c>
      <c r="B151" s="2" t="s">
        <v>58</v>
      </c>
      <c r="C151" s="1" t="s">
        <v>30</v>
      </c>
      <c r="D151" s="1" t="s">
        <v>126</v>
      </c>
      <c r="E151" s="24" t="s">
        <v>19</v>
      </c>
      <c r="F151" s="1" t="s">
        <v>70</v>
      </c>
      <c r="G151" s="1" t="s">
        <v>147</v>
      </c>
      <c r="H151" s="3">
        <f t="shared" si="25"/>
        <v>6.5833333333333321</v>
      </c>
      <c r="I151" s="24" t="str">
        <f t="shared" si="20"/>
        <v>Late</v>
      </c>
      <c r="J151" s="1" t="str">
        <f t="shared" si="21"/>
        <v>Half Day</v>
      </c>
      <c r="K151" s="1" t="str">
        <f t="shared" si="22"/>
        <v>Half Day</v>
      </c>
      <c r="L151" s="1" t="str">
        <f t="shared" si="23"/>
        <v>✓ Match</v>
      </c>
      <c r="M151" s="24" t="str">
        <f t="shared" si="24"/>
        <v>CLEAN</v>
      </c>
    </row>
    <row r="152" spans="1:13" ht="15" customHeight="1" x14ac:dyDescent="0.35">
      <c r="A152" s="1" t="s">
        <v>101</v>
      </c>
      <c r="B152" s="2" t="s">
        <v>102</v>
      </c>
      <c r="C152" s="1" t="s">
        <v>30</v>
      </c>
      <c r="D152" s="1" t="s">
        <v>126</v>
      </c>
      <c r="E152" s="24" t="s">
        <v>19</v>
      </c>
      <c r="F152" s="1" t="s">
        <v>70</v>
      </c>
      <c r="G152" s="1" t="s">
        <v>123</v>
      </c>
      <c r="H152" s="3">
        <f t="shared" si="25"/>
        <v>9.4166666666666661</v>
      </c>
      <c r="I152" s="24" t="str">
        <f t="shared" si="20"/>
        <v>Late</v>
      </c>
      <c r="J152" s="1" t="str">
        <f t="shared" si="21"/>
        <v>Full Day</v>
      </c>
      <c r="K152" s="1" t="str">
        <f t="shared" si="22"/>
        <v>Full Day</v>
      </c>
      <c r="L152" s="1" t="str">
        <f t="shared" si="23"/>
        <v>✓ Match</v>
      </c>
      <c r="M152" s="24" t="str">
        <f t="shared" si="24"/>
        <v>CLEAN</v>
      </c>
    </row>
    <row r="153" spans="1:13" ht="15" customHeight="1" x14ac:dyDescent="0.35">
      <c r="A153" s="1" t="s">
        <v>101</v>
      </c>
      <c r="B153" s="2" t="s">
        <v>102</v>
      </c>
      <c r="C153" s="1" t="s">
        <v>30</v>
      </c>
      <c r="D153" s="1" t="s">
        <v>103</v>
      </c>
      <c r="E153" s="24" t="s">
        <v>19</v>
      </c>
      <c r="F153" s="1" t="s">
        <v>104</v>
      </c>
      <c r="G153" s="1" t="s">
        <v>35</v>
      </c>
      <c r="H153" s="3">
        <f t="shared" si="25"/>
        <v>9.0000000000000018</v>
      </c>
      <c r="I153" s="24" t="str">
        <f t="shared" si="20"/>
        <v>Late</v>
      </c>
      <c r="J153" s="1" t="str">
        <f t="shared" si="21"/>
        <v>Full Day</v>
      </c>
      <c r="K153" s="1" t="str">
        <f t="shared" si="22"/>
        <v>Full Day</v>
      </c>
      <c r="L153" s="1" t="str">
        <f t="shared" si="23"/>
        <v>✓ Match</v>
      </c>
      <c r="M153" s="24" t="str">
        <f t="shared" si="24"/>
        <v>CLEAN</v>
      </c>
    </row>
    <row r="154" spans="1:13" ht="15" customHeight="1" x14ac:dyDescent="0.35">
      <c r="A154" s="1" t="s">
        <v>45</v>
      </c>
      <c r="B154" s="2" t="s">
        <v>46</v>
      </c>
      <c r="C154" s="1" t="s">
        <v>18</v>
      </c>
      <c r="D154" s="1" t="s">
        <v>103</v>
      </c>
      <c r="E154" s="24" t="s">
        <v>19</v>
      </c>
      <c r="F154" s="1" t="s">
        <v>26</v>
      </c>
      <c r="G154" s="1" t="s">
        <v>108</v>
      </c>
      <c r="H154" s="3">
        <f t="shared" si="25"/>
        <v>10.416666666666666</v>
      </c>
      <c r="I154" s="24" t="str">
        <f t="shared" si="20"/>
        <v>Late</v>
      </c>
      <c r="J154" s="1" t="str">
        <f t="shared" si="21"/>
        <v>Full Day</v>
      </c>
      <c r="K154" s="1" t="str">
        <f t="shared" si="22"/>
        <v>Full Day</v>
      </c>
      <c r="L154" s="1" t="str">
        <f t="shared" si="23"/>
        <v>✓ Match</v>
      </c>
      <c r="M154" s="24" t="str">
        <f t="shared" si="24"/>
        <v>CLEAN</v>
      </c>
    </row>
    <row r="155" spans="1:13" ht="15" customHeight="1" x14ac:dyDescent="0.35">
      <c r="A155" s="1" t="s">
        <v>16</v>
      </c>
      <c r="B155" s="2" t="s">
        <v>17</v>
      </c>
      <c r="C155" s="1" t="s">
        <v>18</v>
      </c>
      <c r="D155" s="1" t="s">
        <v>103</v>
      </c>
      <c r="E155" s="24" t="s">
        <v>19</v>
      </c>
      <c r="F155" s="1" t="s">
        <v>20</v>
      </c>
      <c r="G155" s="1" t="s">
        <v>109</v>
      </c>
      <c r="H155" s="3">
        <f t="shared" si="25"/>
        <v>8.5</v>
      </c>
      <c r="I155" s="24" t="str">
        <f t="shared" si="20"/>
        <v>On Time</v>
      </c>
      <c r="J155" s="1" t="str">
        <f t="shared" si="21"/>
        <v>Full Day</v>
      </c>
      <c r="K155" s="1" t="str">
        <f t="shared" si="22"/>
        <v>Full Day</v>
      </c>
      <c r="L155" s="1" t="str">
        <f t="shared" si="23"/>
        <v>✓ Match</v>
      </c>
      <c r="M155" s="24" t="str">
        <f t="shared" si="24"/>
        <v>CLEAN</v>
      </c>
    </row>
    <row r="156" spans="1:13" ht="15" customHeight="1" x14ac:dyDescent="0.35">
      <c r="A156" s="1" t="s">
        <v>105</v>
      </c>
      <c r="B156" s="2" t="s">
        <v>106</v>
      </c>
      <c r="C156" s="1" t="s">
        <v>11</v>
      </c>
      <c r="D156" s="1" t="s">
        <v>103</v>
      </c>
      <c r="E156" s="24" t="s">
        <v>19</v>
      </c>
      <c r="F156" s="1" t="s">
        <v>70</v>
      </c>
      <c r="G156" s="1" t="s">
        <v>153</v>
      </c>
      <c r="H156" s="3">
        <f t="shared" si="25"/>
        <v>9.5833333333333321</v>
      </c>
      <c r="I156" s="24" t="str">
        <f t="shared" si="20"/>
        <v>Late</v>
      </c>
      <c r="J156" s="1" t="str">
        <f t="shared" si="21"/>
        <v>Full Day</v>
      </c>
      <c r="K156" s="1" t="str">
        <f t="shared" si="22"/>
        <v>Full Day</v>
      </c>
      <c r="L156" s="1" t="str">
        <f t="shared" si="23"/>
        <v>✓ Match</v>
      </c>
      <c r="M156" s="24" t="str">
        <f t="shared" si="24"/>
        <v>CLEAN</v>
      </c>
    </row>
    <row r="157" spans="1:13" ht="15" customHeight="1" x14ac:dyDescent="0.35">
      <c r="A157" s="1" t="s">
        <v>130</v>
      </c>
      <c r="B157" s="2" t="s">
        <v>131</v>
      </c>
      <c r="C157" s="1" t="s">
        <v>11</v>
      </c>
      <c r="D157" s="1" t="s">
        <v>103</v>
      </c>
      <c r="E157" s="24" t="s">
        <v>13</v>
      </c>
      <c r="F157" s="1" t="s">
        <v>14</v>
      </c>
      <c r="G157" s="1" t="s">
        <v>15</v>
      </c>
      <c r="H157" s="3">
        <v>0</v>
      </c>
      <c r="I157" s="24" t="str">
        <f t="shared" si="20"/>
        <v/>
      </c>
      <c r="J157" s="1" t="str">
        <f t="shared" si="21"/>
        <v>Absent</v>
      </c>
      <c r="K157" s="1" t="str">
        <f t="shared" si="22"/>
        <v>N/A</v>
      </c>
      <c r="L157" s="1" t="str">
        <f t="shared" si="23"/>
        <v>⚠ Mismatch</v>
      </c>
      <c r="M157" s="24" t="str">
        <f t="shared" si="24"/>
        <v>REVIEW</v>
      </c>
    </row>
    <row r="158" spans="1:13" ht="15" customHeight="1" x14ac:dyDescent="0.35">
      <c r="A158" s="1" t="s">
        <v>112</v>
      </c>
      <c r="B158" s="2" t="s">
        <v>113</v>
      </c>
      <c r="C158" s="1" t="s">
        <v>30</v>
      </c>
      <c r="D158" s="1" t="s">
        <v>103</v>
      </c>
      <c r="E158" s="24" t="s">
        <v>13</v>
      </c>
      <c r="F158" s="1" t="s">
        <v>14</v>
      </c>
      <c r="G158" s="1" t="s">
        <v>15</v>
      </c>
      <c r="H158" s="3">
        <v>0</v>
      </c>
      <c r="I158" s="24" t="str">
        <f t="shared" si="20"/>
        <v/>
      </c>
      <c r="J158" s="1" t="str">
        <f t="shared" si="21"/>
        <v>Absent</v>
      </c>
      <c r="K158" s="1" t="str">
        <f t="shared" si="22"/>
        <v>N/A</v>
      </c>
      <c r="L158" s="1" t="str">
        <f t="shared" si="23"/>
        <v>⚠ Mismatch</v>
      </c>
      <c r="M158" s="24" t="str">
        <f t="shared" si="24"/>
        <v>REVIEW</v>
      </c>
    </row>
    <row r="159" spans="1:13" ht="15" customHeight="1" x14ac:dyDescent="0.35">
      <c r="A159" s="1" t="s">
        <v>91</v>
      </c>
      <c r="B159" s="2" t="s">
        <v>92</v>
      </c>
      <c r="C159" s="1" t="s">
        <v>18</v>
      </c>
      <c r="D159" s="1" t="s">
        <v>103</v>
      </c>
      <c r="E159" s="24" t="s">
        <v>19</v>
      </c>
      <c r="F159" s="1" t="s">
        <v>138</v>
      </c>
      <c r="G159" s="1" t="s">
        <v>90</v>
      </c>
      <c r="H159" s="3">
        <f>IFERROR(MOD(TIMEVALUE(G159)-TIMEVALUE(F159),1)*24,0)</f>
        <v>10.833333333333336</v>
      </c>
      <c r="I159" s="24" t="str">
        <f t="shared" si="20"/>
        <v>Late</v>
      </c>
      <c r="J159" s="1" t="str">
        <f t="shared" si="21"/>
        <v>Full Day</v>
      </c>
      <c r="K159" s="1" t="str">
        <f t="shared" si="22"/>
        <v>Full Day</v>
      </c>
      <c r="L159" s="1" t="str">
        <f t="shared" si="23"/>
        <v>✓ Match</v>
      </c>
      <c r="M159" s="24" t="str">
        <f t="shared" si="24"/>
        <v>CLEAN</v>
      </c>
    </row>
    <row r="160" spans="1:13" ht="15" customHeight="1" x14ac:dyDescent="0.35">
      <c r="A160" s="1" t="s">
        <v>61</v>
      </c>
      <c r="B160" s="2" t="s">
        <v>62</v>
      </c>
      <c r="C160" s="1" t="s">
        <v>11</v>
      </c>
      <c r="D160" s="1" t="s">
        <v>103</v>
      </c>
      <c r="E160" s="24" t="s">
        <v>13</v>
      </c>
      <c r="F160" s="1" t="s">
        <v>14</v>
      </c>
      <c r="G160" s="1" t="s">
        <v>15</v>
      </c>
      <c r="H160" s="3">
        <v>0</v>
      </c>
      <c r="I160" s="24" t="str">
        <f t="shared" si="20"/>
        <v/>
      </c>
      <c r="J160" s="1" t="str">
        <f t="shared" si="21"/>
        <v>Absent</v>
      </c>
      <c r="K160" s="1" t="str">
        <f t="shared" si="22"/>
        <v>N/A</v>
      </c>
      <c r="L160" s="1" t="str">
        <f t="shared" si="23"/>
        <v>⚠ Mismatch</v>
      </c>
      <c r="M160" s="24" t="str">
        <f t="shared" si="24"/>
        <v>REVIEW</v>
      </c>
    </row>
    <row r="161" spans="1:13" ht="15" customHeight="1" x14ac:dyDescent="0.35">
      <c r="A161" s="1" t="s">
        <v>22</v>
      </c>
      <c r="B161" s="2" t="s">
        <v>23</v>
      </c>
      <c r="C161" s="1" t="s">
        <v>24</v>
      </c>
      <c r="D161" s="1" t="s">
        <v>103</v>
      </c>
      <c r="E161" s="24" t="s">
        <v>19</v>
      </c>
      <c r="F161" s="1" t="s">
        <v>163</v>
      </c>
      <c r="G161" s="1" t="s">
        <v>97</v>
      </c>
      <c r="H161" s="3">
        <f>IFERROR(MOD(TIMEVALUE(G161)-TIMEVALUE(F161),1)*24,0)</f>
        <v>11.916666666666666</v>
      </c>
      <c r="I161" s="24" t="str">
        <f t="shared" si="20"/>
        <v>On Time</v>
      </c>
      <c r="J161" s="1" t="str">
        <f t="shared" si="21"/>
        <v>Full Day</v>
      </c>
      <c r="K161" s="1" t="str">
        <f t="shared" si="22"/>
        <v>Full Day</v>
      </c>
      <c r="L161" s="1" t="str">
        <f t="shared" si="23"/>
        <v>✓ Match</v>
      </c>
      <c r="M161" s="24" t="str">
        <f t="shared" si="24"/>
        <v>CLEAN</v>
      </c>
    </row>
    <row r="162" spans="1:13" ht="15" customHeight="1" x14ac:dyDescent="0.35">
      <c r="A162" s="1" t="s">
        <v>28</v>
      </c>
      <c r="B162" s="2" t="s">
        <v>29</v>
      </c>
      <c r="C162" s="1" t="s">
        <v>30</v>
      </c>
      <c r="D162" s="1" t="s">
        <v>103</v>
      </c>
      <c r="E162" s="24" t="s">
        <v>19</v>
      </c>
      <c r="F162" s="1" t="s">
        <v>128</v>
      </c>
      <c r="G162" s="1" t="s">
        <v>90</v>
      </c>
      <c r="H162" s="3">
        <f>IFERROR(MOD(TIMEVALUE(G162)-TIMEVALUE(F162),1)*24,0)</f>
        <v>10.500000000000002</v>
      </c>
      <c r="I162" s="24" t="str">
        <f t="shared" si="20"/>
        <v>Late</v>
      </c>
      <c r="J162" s="1" t="str">
        <f t="shared" si="21"/>
        <v>Full Day</v>
      </c>
      <c r="K162" s="1" t="str">
        <f t="shared" si="22"/>
        <v>Full Day</v>
      </c>
      <c r="L162" s="1" t="str">
        <f t="shared" si="23"/>
        <v>✓ Match</v>
      </c>
      <c r="M162" s="24" t="str">
        <f t="shared" si="24"/>
        <v>CLEAN</v>
      </c>
    </row>
    <row r="163" spans="1:13" ht="15" customHeight="1" x14ac:dyDescent="0.35">
      <c r="A163" s="1" t="s">
        <v>158</v>
      </c>
      <c r="B163" s="2" t="s">
        <v>159</v>
      </c>
      <c r="C163" s="1" t="s">
        <v>11</v>
      </c>
      <c r="D163" s="1" t="s">
        <v>103</v>
      </c>
      <c r="E163" s="24" t="s">
        <v>19</v>
      </c>
      <c r="F163" s="1" t="s">
        <v>138</v>
      </c>
      <c r="G163" s="1" t="s">
        <v>94</v>
      </c>
      <c r="H163" s="3">
        <f>IFERROR(MOD(TIMEVALUE(G163)-TIMEVALUE(F163),1)*24,0)</f>
        <v>10.083333333333336</v>
      </c>
      <c r="I163" s="24" t="str">
        <f t="shared" si="20"/>
        <v>Late</v>
      </c>
      <c r="J163" s="1" t="str">
        <f t="shared" si="21"/>
        <v>Full Day</v>
      </c>
      <c r="K163" s="1" t="str">
        <f t="shared" si="22"/>
        <v>Full Day</v>
      </c>
      <c r="L163" s="1" t="str">
        <f t="shared" si="23"/>
        <v>✓ Match</v>
      </c>
      <c r="M163" s="24" t="str">
        <f t="shared" si="24"/>
        <v>CLEAN</v>
      </c>
    </row>
    <row r="164" spans="1:13" ht="15" customHeight="1" x14ac:dyDescent="0.35">
      <c r="A164" s="1" t="s">
        <v>53</v>
      </c>
      <c r="B164" s="2" t="s">
        <v>54</v>
      </c>
      <c r="C164" s="1" t="s">
        <v>18</v>
      </c>
      <c r="D164" s="1" t="s">
        <v>103</v>
      </c>
      <c r="E164" s="24" t="s">
        <v>19</v>
      </c>
      <c r="F164" s="1" t="s">
        <v>75</v>
      </c>
      <c r="G164" s="1" t="s">
        <v>90</v>
      </c>
      <c r="H164" s="3">
        <f>IFERROR(MOD(TIMEVALUE(G164)-TIMEVALUE(F164),1)*24,0)</f>
        <v>11.75</v>
      </c>
      <c r="I164" s="24" t="str">
        <f t="shared" si="20"/>
        <v>On Time</v>
      </c>
      <c r="J164" s="1" t="str">
        <f t="shared" si="21"/>
        <v>Full Day</v>
      </c>
      <c r="K164" s="1" t="str">
        <f t="shared" si="22"/>
        <v>Full Day</v>
      </c>
      <c r="L164" s="1" t="str">
        <f t="shared" si="23"/>
        <v>✓ Match</v>
      </c>
      <c r="M164" s="24" t="str">
        <f t="shared" si="24"/>
        <v>CLEAN</v>
      </c>
    </row>
    <row r="165" spans="1:13" ht="15" customHeight="1" x14ac:dyDescent="0.35">
      <c r="A165" s="1" t="s">
        <v>47</v>
      </c>
      <c r="B165" s="2" t="s">
        <v>48</v>
      </c>
      <c r="C165" s="1" t="s">
        <v>18</v>
      </c>
      <c r="D165" s="1" t="s">
        <v>103</v>
      </c>
      <c r="E165" s="24" t="s">
        <v>13</v>
      </c>
      <c r="F165" s="1" t="s">
        <v>14</v>
      </c>
      <c r="G165" s="1" t="s">
        <v>15</v>
      </c>
      <c r="H165" s="3">
        <v>0</v>
      </c>
      <c r="I165" s="24" t="str">
        <f t="shared" si="20"/>
        <v/>
      </c>
      <c r="J165" s="1" t="str">
        <f t="shared" si="21"/>
        <v>Absent</v>
      </c>
      <c r="K165" s="1" t="str">
        <f t="shared" si="22"/>
        <v>N/A</v>
      </c>
      <c r="L165" s="1" t="str">
        <f t="shared" si="23"/>
        <v>⚠ Mismatch</v>
      </c>
      <c r="M165" s="24" t="str">
        <f t="shared" si="24"/>
        <v>REVIEW</v>
      </c>
    </row>
    <row r="166" spans="1:13" ht="15" customHeight="1" x14ac:dyDescent="0.35">
      <c r="A166" s="1" t="s">
        <v>120</v>
      </c>
      <c r="B166" s="2" t="s">
        <v>121</v>
      </c>
      <c r="C166" s="1" t="s">
        <v>11</v>
      </c>
      <c r="D166" s="1" t="s">
        <v>103</v>
      </c>
      <c r="E166" s="24" t="s">
        <v>13</v>
      </c>
      <c r="F166" s="1" t="s">
        <v>14</v>
      </c>
      <c r="G166" s="1" t="s">
        <v>15</v>
      </c>
      <c r="H166" s="3">
        <v>0</v>
      </c>
      <c r="I166" s="24" t="str">
        <f t="shared" si="20"/>
        <v/>
      </c>
      <c r="J166" s="1" t="str">
        <f t="shared" si="21"/>
        <v>Absent</v>
      </c>
      <c r="K166" s="1" t="str">
        <f t="shared" si="22"/>
        <v>N/A</v>
      </c>
      <c r="L166" s="1" t="str">
        <f t="shared" si="23"/>
        <v>⚠ Mismatch</v>
      </c>
      <c r="M166" s="24" t="str">
        <f t="shared" si="24"/>
        <v>REVIEW</v>
      </c>
    </row>
    <row r="167" spans="1:13" ht="15" customHeight="1" x14ac:dyDescent="0.35">
      <c r="A167" s="1" t="s">
        <v>9</v>
      </c>
      <c r="B167" s="2" t="s">
        <v>10</v>
      </c>
      <c r="C167" s="1" t="s">
        <v>11</v>
      </c>
      <c r="D167" s="1" t="s">
        <v>103</v>
      </c>
      <c r="E167" s="24" t="s">
        <v>19</v>
      </c>
      <c r="F167" s="1" t="s">
        <v>43</v>
      </c>
      <c r="G167" s="1" t="s">
        <v>109</v>
      </c>
      <c r="H167" s="3">
        <f>IFERROR(MOD(TIMEVALUE(G167)-TIMEVALUE(F167),1)*24,0)</f>
        <v>8.75</v>
      </c>
      <c r="I167" s="24" t="str">
        <f t="shared" si="20"/>
        <v>On Time</v>
      </c>
      <c r="J167" s="1" t="str">
        <f t="shared" si="21"/>
        <v>Full Day</v>
      </c>
      <c r="K167" s="1" t="str">
        <f t="shared" si="22"/>
        <v>Full Day</v>
      </c>
      <c r="L167" s="1" t="str">
        <f t="shared" si="23"/>
        <v>✓ Match</v>
      </c>
      <c r="M167" s="24" t="str">
        <f t="shared" si="24"/>
        <v>CLEAN</v>
      </c>
    </row>
    <row r="168" spans="1:13" ht="15" customHeight="1" x14ac:dyDescent="0.35">
      <c r="A168" s="1" t="s">
        <v>150</v>
      </c>
      <c r="B168" s="2" t="s">
        <v>151</v>
      </c>
      <c r="C168" s="1" t="s">
        <v>68</v>
      </c>
      <c r="D168" s="1" t="s">
        <v>103</v>
      </c>
      <c r="E168" s="24" t="s">
        <v>19</v>
      </c>
      <c r="F168" s="1" t="s">
        <v>56</v>
      </c>
      <c r="G168" s="1" t="s">
        <v>27</v>
      </c>
      <c r="H168" s="3">
        <f>IFERROR(MOD(TIMEVALUE(G168)-TIMEVALUE(F168),1)*24,0)</f>
        <v>10.500000000000002</v>
      </c>
      <c r="I168" s="24" t="str">
        <f t="shared" si="20"/>
        <v>Late</v>
      </c>
      <c r="J168" s="1" t="str">
        <f t="shared" si="21"/>
        <v>Full Day</v>
      </c>
      <c r="K168" s="1" t="str">
        <f t="shared" si="22"/>
        <v>Full Day</v>
      </c>
      <c r="L168" s="1" t="str">
        <f t="shared" si="23"/>
        <v>✓ Match</v>
      </c>
      <c r="M168" s="24" t="str">
        <f t="shared" si="24"/>
        <v>CLEAN</v>
      </c>
    </row>
    <row r="169" spans="1:13" ht="15" customHeight="1" x14ac:dyDescent="0.35">
      <c r="A169" s="1" t="s">
        <v>82</v>
      </c>
      <c r="B169" s="2" t="s">
        <v>83</v>
      </c>
      <c r="C169" s="1" t="s">
        <v>68</v>
      </c>
      <c r="D169" s="1" t="s">
        <v>103</v>
      </c>
      <c r="E169" s="24" t="s">
        <v>19</v>
      </c>
      <c r="F169" s="1" t="s">
        <v>140</v>
      </c>
      <c r="G169" s="1" t="s">
        <v>123</v>
      </c>
      <c r="H169" s="3">
        <f>IFERROR(MOD(TIMEVALUE(G169)-TIMEVALUE(F169),1)*24,0)</f>
        <v>10.416666666666668</v>
      </c>
      <c r="I169" s="24" t="str">
        <f t="shared" si="20"/>
        <v>Late</v>
      </c>
      <c r="J169" s="1" t="str">
        <f t="shared" si="21"/>
        <v>Full Day</v>
      </c>
      <c r="K169" s="1" t="str">
        <f t="shared" si="22"/>
        <v>Full Day</v>
      </c>
      <c r="L169" s="1" t="str">
        <f t="shared" si="23"/>
        <v>✓ Match</v>
      </c>
      <c r="M169" s="24" t="str">
        <f t="shared" si="24"/>
        <v>CLEAN</v>
      </c>
    </row>
    <row r="170" spans="1:13" ht="15" customHeight="1" x14ac:dyDescent="0.35">
      <c r="A170" s="1" t="s">
        <v>117</v>
      </c>
      <c r="B170" s="2" t="s">
        <v>118</v>
      </c>
      <c r="C170" s="1" t="s">
        <v>30</v>
      </c>
      <c r="D170" s="1" t="s">
        <v>103</v>
      </c>
      <c r="E170" s="24" t="s">
        <v>19</v>
      </c>
      <c r="F170" s="1" t="s">
        <v>70</v>
      </c>
      <c r="G170" s="1" t="s">
        <v>108</v>
      </c>
      <c r="H170" s="3">
        <f>IFERROR(MOD(TIMEVALUE(G170)-TIMEVALUE(F170),1)*24,0)</f>
        <v>9.7499999999999982</v>
      </c>
      <c r="I170" s="24" t="str">
        <f t="shared" si="20"/>
        <v>Late</v>
      </c>
      <c r="J170" s="1" t="str">
        <f t="shared" si="21"/>
        <v>Full Day</v>
      </c>
      <c r="K170" s="1" t="str">
        <f t="shared" si="22"/>
        <v>Full Day</v>
      </c>
      <c r="L170" s="1" t="str">
        <f t="shared" si="23"/>
        <v>✓ Match</v>
      </c>
      <c r="M170" s="24" t="str">
        <f t="shared" si="24"/>
        <v>CLEAN</v>
      </c>
    </row>
    <row r="171" spans="1:13" ht="15" customHeight="1" x14ac:dyDescent="0.35">
      <c r="A171" s="1" t="s">
        <v>134</v>
      </c>
      <c r="B171" s="2" t="s">
        <v>135</v>
      </c>
      <c r="C171" s="1" t="s">
        <v>68</v>
      </c>
      <c r="D171" s="1" t="s">
        <v>103</v>
      </c>
      <c r="E171" s="24" t="s">
        <v>13</v>
      </c>
      <c r="F171" s="1" t="s">
        <v>14</v>
      </c>
      <c r="G171" s="1" t="s">
        <v>15</v>
      </c>
      <c r="H171" s="3">
        <v>0</v>
      </c>
      <c r="I171" s="24" t="str">
        <f t="shared" si="20"/>
        <v/>
      </c>
      <c r="J171" s="1" t="str">
        <f t="shared" si="21"/>
        <v>Absent</v>
      </c>
      <c r="K171" s="1" t="str">
        <f t="shared" si="22"/>
        <v>N/A</v>
      </c>
      <c r="L171" s="1" t="str">
        <f t="shared" si="23"/>
        <v>⚠ Mismatch</v>
      </c>
      <c r="M171" s="24" t="str">
        <f t="shared" si="24"/>
        <v>REVIEW</v>
      </c>
    </row>
    <row r="172" spans="1:13" ht="15" customHeight="1" x14ac:dyDescent="0.35">
      <c r="A172" s="1" t="s">
        <v>95</v>
      </c>
      <c r="B172" s="2" t="s">
        <v>96</v>
      </c>
      <c r="C172" s="1" t="s">
        <v>68</v>
      </c>
      <c r="D172" s="1" t="s">
        <v>103</v>
      </c>
      <c r="E172" s="24" t="s">
        <v>13</v>
      </c>
      <c r="F172" s="1" t="s">
        <v>14</v>
      </c>
      <c r="G172" s="1" t="s">
        <v>15</v>
      </c>
      <c r="H172" s="3">
        <v>0</v>
      </c>
      <c r="I172" s="24" t="str">
        <f t="shared" si="20"/>
        <v/>
      </c>
      <c r="J172" s="1" t="str">
        <f t="shared" si="21"/>
        <v>Absent</v>
      </c>
      <c r="K172" s="1" t="str">
        <f t="shared" si="22"/>
        <v>N/A</v>
      </c>
      <c r="L172" s="1" t="str">
        <f t="shared" si="23"/>
        <v>⚠ Mismatch</v>
      </c>
      <c r="M172" s="24" t="str">
        <f t="shared" si="24"/>
        <v>REVIEW</v>
      </c>
    </row>
    <row r="173" spans="1:13" ht="15" customHeight="1" x14ac:dyDescent="0.35">
      <c r="A173" s="1" t="s">
        <v>40</v>
      </c>
      <c r="B173" s="2" t="s">
        <v>41</v>
      </c>
      <c r="C173" s="1" t="s">
        <v>24</v>
      </c>
      <c r="D173" s="1" t="s">
        <v>103</v>
      </c>
      <c r="E173" s="24" t="s">
        <v>19</v>
      </c>
      <c r="F173" s="1" t="s">
        <v>138</v>
      </c>
      <c r="G173" s="1" t="s">
        <v>154</v>
      </c>
      <c r="H173" s="3">
        <f t="shared" ref="H173:H181" si="26">IFERROR(MOD(TIMEVALUE(G173)-TIMEVALUE(F173),1)*24,0)</f>
        <v>7.1666666666666652</v>
      </c>
      <c r="I173" s="24" t="str">
        <f t="shared" si="20"/>
        <v>Late</v>
      </c>
      <c r="J173" s="1" t="str">
        <f t="shared" si="21"/>
        <v>Half Day</v>
      </c>
      <c r="K173" s="1" t="str">
        <f t="shared" si="22"/>
        <v>Half Day</v>
      </c>
      <c r="L173" s="1" t="str">
        <f t="shared" si="23"/>
        <v>✓ Match</v>
      </c>
      <c r="M173" s="24" t="str">
        <f t="shared" si="24"/>
        <v>CLEAN</v>
      </c>
    </row>
    <row r="174" spans="1:13" ht="15" customHeight="1" x14ac:dyDescent="0.35">
      <c r="A174" s="1" t="s">
        <v>98</v>
      </c>
      <c r="B174" s="2" t="s">
        <v>99</v>
      </c>
      <c r="C174" s="1" t="s">
        <v>18</v>
      </c>
      <c r="D174" s="1" t="s">
        <v>103</v>
      </c>
      <c r="E174" s="24" t="s">
        <v>19</v>
      </c>
      <c r="F174" s="1" t="s">
        <v>132</v>
      </c>
      <c r="G174" s="1" t="s">
        <v>90</v>
      </c>
      <c r="H174" s="3">
        <f t="shared" si="26"/>
        <v>8.9166666666666679</v>
      </c>
      <c r="I174" s="24" t="str">
        <f t="shared" si="20"/>
        <v>Late</v>
      </c>
      <c r="J174" s="1" t="str">
        <f t="shared" si="21"/>
        <v>Full Day</v>
      </c>
      <c r="K174" s="1" t="str">
        <f t="shared" si="22"/>
        <v>Full Day</v>
      </c>
      <c r="L174" s="1" t="str">
        <f t="shared" si="23"/>
        <v>✓ Match</v>
      </c>
      <c r="M174" s="24" t="str">
        <f t="shared" si="24"/>
        <v>CLEAN</v>
      </c>
    </row>
    <row r="175" spans="1:13" ht="15" customHeight="1" x14ac:dyDescent="0.35">
      <c r="A175" s="1" t="s">
        <v>124</v>
      </c>
      <c r="B175" s="2" t="s">
        <v>125</v>
      </c>
      <c r="C175" s="1" t="s">
        <v>68</v>
      </c>
      <c r="D175" s="1" t="s">
        <v>103</v>
      </c>
      <c r="E175" s="24" t="s">
        <v>19</v>
      </c>
      <c r="F175" s="1" t="s">
        <v>100</v>
      </c>
      <c r="G175" s="1" t="s">
        <v>108</v>
      </c>
      <c r="H175" s="3">
        <f t="shared" si="26"/>
        <v>12.499999999999998</v>
      </c>
      <c r="I175" s="24" t="str">
        <f t="shared" si="20"/>
        <v>On Time</v>
      </c>
      <c r="J175" s="1" t="str">
        <f t="shared" si="21"/>
        <v>Full Day</v>
      </c>
      <c r="K175" s="1" t="str">
        <f t="shared" si="22"/>
        <v>Full Day</v>
      </c>
      <c r="L175" s="1" t="str">
        <f t="shared" si="23"/>
        <v>✓ Match</v>
      </c>
      <c r="M175" s="24" t="str">
        <f t="shared" si="24"/>
        <v>CLEAN</v>
      </c>
    </row>
    <row r="176" spans="1:13" ht="15" customHeight="1" x14ac:dyDescent="0.35">
      <c r="A176" s="1" t="s">
        <v>72</v>
      </c>
      <c r="B176" s="2" t="s">
        <v>73</v>
      </c>
      <c r="C176" s="1" t="s">
        <v>68</v>
      </c>
      <c r="D176" s="1" t="s">
        <v>103</v>
      </c>
      <c r="E176" s="24" t="s">
        <v>19</v>
      </c>
      <c r="F176" s="1" t="s">
        <v>163</v>
      </c>
      <c r="G176" s="1" t="s">
        <v>166</v>
      </c>
      <c r="H176" s="3">
        <f t="shared" si="26"/>
        <v>6.9166666666666643</v>
      </c>
      <c r="I176" s="24" t="str">
        <f t="shared" si="20"/>
        <v>On Time</v>
      </c>
      <c r="J176" s="1" t="str">
        <f t="shared" si="21"/>
        <v>Half Day</v>
      </c>
      <c r="K176" s="1" t="str">
        <f t="shared" si="22"/>
        <v>Half Day</v>
      </c>
      <c r="L176" s="1" t="str">
        <f t="shared" si="23"/>
        <v>✓ Match</v>
      </c>
      <c r="M176" s="24" t="str">
        <f t="shared" si="24"/>
        <v>CLEAN</v>
      </c>
    </row>
    <row r="177" spans="1:13" ht="15" customHeight="1" x14ac:dyDescent="0.35">
      <c r="A177" s="1" t="s">
        <v>76</v>
      </c>
      <c r="B177" s="2" t="s">
        <v>77</v>
      </c>
      <c r="C177" s="1" t="s">
        <v>68</v>
      </c>
      <c r="D177" s="1" t="s">
        <v>103</v>
      </c>
      <c r="E177" s="24" t="s">
        <v>19</v>
      </c>
      <c r="F177" s="1" t="s">
        <v>160</v>
      </c>
      <c r="G177" s="1" t="s">
        <v>27</v>
      </c>
      <c r="H177" s="3">
        <f t="shared" si="26"/>
        <v>9.25</v>
      </c>
      <c r="I177" s="24" t="str">
        <f t="shared" si="20"/>
        <v>Late</v>
      </c>
      <c r="J177" s="1" t="str">
        <f t="shared" si="21"/>
        <v>Full Day</v>
      </c>
      <c r="K177" s="1" t="str">
        <f t="shared" si="22"/>
        <v>Full Day</v>
      </c>
      <c r="L177" s="1" t="str">
        <f t="shared" si="23"/>
        <v>✓ Match</v>
      </c>
      <c r="M177" s="24" t="str">
        <f t="shared" si="24"/>
        <v>CLEAN</v>
      </c>
    </row>
    <row r="178" spans="1:13" ht="15" customHeight="1" x14ac:dyDescent="0.35">
      <c r="A178" s="1" t="s">
        <v>110</v>
      </c>
      <c r="B178" s="2" t="s">
        <v>111</v>
      </c>
      <c r="C178" s="1" t="s">
        <v>68</v>
      </c>
      <c r="D178" s="1" t="s">
        <v>103</v>
      </c>
      <c r="E178" s="24" t="s">
        <v>19</v>
      </c>
      <c r="F178" s="1" t="s">
        <v>163</v>
      </c>
      <c r="G178" s="1" t="s">
        <v>39</v>
      </c>
      <c r="H178" s="3">
        <f t="shared" si="26"/>
        <v>10.416666666666666</v>
      </c>
      <c r="I178" s="24" t="str">
        <f t="shared" si="20"/>
        <v>On Time</v>
      </c>
      <c r="J178" s="1" t="str">
        <f t="shared" si="21"/>
        <v>Full Day</v>
      </c>
      <c r="K178" s="1" t="str">
        <f t="shared" si="22"/>
        <v>Full Day</v>
      </c>
      <c r="L178" s="1" t="str">
        <f t="shared" si="23"/>
        <v>✓ Match</v>
      </c>
      <c r="M178" s="24" t="str">
        <f t="shared" si="24"/>
        <v>CLEAN</v>
      </c>
    </row>
    <row r="179" spans="1:13" ht="15" customHeight="1" x14ac:dyDescent="0.35">
      <c r="A179" s="1" t="s">
        <v>142</v>
      </c>
      <c r="B179" s="2" t="s">
        <v>143</v>
      </c>
      <c r="C179" s="1" t="s">
        <v>18</v>
      </c>
      <c r="D179" s="1" t="s">
        <v>103</v>
      </c>
      <c r="E179" s="24" t="s">
        <v>19</v>
      </c>
      <c r="F179" s="1" t="s">
        <v>64</v>
      </c>
      <c r="G179" s="1" t="s">
        <v>153</v>
      </c>
      <c r="H179" s="3">
        <f t="shared" si="26"/>
        <v>12.25</v>
      </c>
      <c r="I179" s="24" t="str">
        <f t="shared" si="20"/>
        <v>On Time</v>
      </c>
      <c r="J179" s="1" t="str">
        <f t="shared" si="21"/>
        <v>Full Day</v>
      </c>
      <c r="K179" s="1" t="str">
        <f t="shared" si="22"/>
        <v>Full Day</v>
      </c>
      <c r="L179" s="1" t="str">
        <f t="shared" si="23"/>
        <v>✓ Match</v>
      </c>
      <c r="M179" s="24" t="str">
        <f t="shared" si="24"/>
        <v>CLEAN</v>
      </c>
    </row>
    <row r="180" spans="1:13" ht="15" customHeight="1" x14ac:dyDescent="0.35">
      <c r="A180" s="1" t="s">
        <v>57</v>
      </c>
      <c r="B180" s="2" t="s">
        <v>58</v>
      </c>
      <c r="C180" s="1" t="s">
        <v>30</v>
      </c>
      <c r="D180" s="1" t="s">
        <v>103</v>
      </c>
      <c r="E180" s="24" t="s">
        <v>19</v>
      </c>
      <c r="F180" s="1" t="s">
        <v>26</v>
      </c>
      <c r="G180" s="1" t="s">
        <v>65</v>
      </c>
      <c r="H180" s="3">
        <f t="shared" si="26"/>
        <v>7.9166666666666661</v>
      </c>
      <c r="I180" s="24" t="str">
        <f t="shared" si="20"/>
        <v>Late</v>
      </c>
      <c r="J180" s="1" t="str">
        <f t="shared" si="21"/>
        <v>Half Day</v>
      </c>
      <c r="K180" s="1" t="str">
        <f t="shared" si="22"/>
        <v>Half Day</v>
      </c>
      <c r="L180" s="1" t="str">
        <f t="shared" si="23"/>
        <v>✓ Match</v>
      </c>
      <c r="M180" s="24" t="str">
        <f t="shared" si="24"/>
        <v>CLEAN</v>
      </c>
    </row>
    <row r="181" spans="1:13" ht="15" customHeight="1" x14ac:dyDescent="0.35">
      <c r="A181" s="1" t="s">
        <v>66</v>
      </c>
      <c r="B181" s="2" t="s">
        <v>67</v>
      </c>
      <c r="C181" s="1" t="s">
        <v>68</v>
      </c>
      <c r="D181" s="1" t="s">
        <v>103</v>
      </c>
      <c r="E181" s="24" t="s">
        <v>19</v>
      </c>
      <c r="F181" s="1" t="s">
        <v>129</v>
      </c>
      <c r="G181" s="1" t="s">
        <v>94</v>
      </c>
      <c r="H181" s="3">
        <f t="shared" si="26"/>
        <v>10.25</v>
      </c>
      <c r="I181" s="24" t="str">
        <f t="shared" si="20"/>
        <v>On Time</v>
      </c>
      <c r="J181" s="1" t="str">
        <f t="shared" si="21"/>
        <v>Full Day</v>
      </c>
      <c r="K181" s="1" t="str">
        <f t="shared" si="22"/>
        <v>Full Day</v>
      </c>
      <c r="L181" s="1" t="str">
        <f t="shared" si="23"/>
        <v>✓ Match</v>
      </c>
      <c r="M181" s="24" t="str">
        <f t="shared" si="24"/>
        <v>CLEAN</v>
      </c>
    </row>
    <row r="182" spans="1:13" ht="15" customHeight="1" x14ac:dyDescent="0.35">
      <c r="A182" s="1" t="s">
        <v>79</v>
      </c>
      <c r="B182" s="2" t="s">
        <v>80</v>
      </c>
      <c r="C182" s="1" t="s">
        <v>18</v>
      </c>
      <c r="D182" s="1" t="s">
        <v>103</v>
      </c>
      <c r="E182" s="24" t="s">
        <v>13</v>
      </c>
      <c r="F182" s="1" t="s">
        <v>14</v>
      </c>
      <c r="G182" s="1" t="s">
        <v>15</v>
      </c>
      <c r="H182" s="3">
        <v>0</v>
      </c>
      <c r="I182" s="24" t="str">
        <f t="shared" si="20"/>
        <v/>
      </c>
      <c r="J182" s="1" t="str">
        <f t="shared" si="21"/>
        <v>Absent</v>
      </c>
      <c r="K182" s="1" t="str">
        <f t="shared" si="22"/>
        <v>N/A</v>
      </c>
      <c r="L182" s="1" t="str">
        <f t="shared" si="23"/>
        <v>⚠ Mismatch</v>
      </c>
      <c r="M182" s="24" t="str">
        <f t="shared" si="24"/>
        <v>REVIEW</v>
      </c>
    </row>
    <row r="183" spans="1:13" ht="15" customHeight="1" x14ac:dyDescent="0.35">
      <c r="A183" s="1" t="s">
        <v>117</v>
      </c>
      <c r="B183" s="2" t="s">
        <v>118</v>
      </c>
      <c r="C183" s="1" t="s">
        <v>30</v>
      </c>
      <c r="D183" s="1" t="s">
        <v>133</v>
      </c>
      <c r="E183" s="24" t="s">
        <v>19</v>
      </c>
      <c r="F183" s="1" t="s">
        <v>56</v>
      </c>
      <c r="G183" s="1" t="s">
        <v>50</v>
      </c>
      <c r="H183" s="3">
        <f t="shared" ref="H183:H196" si="27">IFERROR(MOD(TIMEVALUE(G183)-TIMEVALUE(F183),1)*24,0)</f>
        <v>6.7500000000000018</v>
      </c>
      <c r="I183" s="24" t="str">
        <f t="shared" si="20"/>
        <v>Late</v>
      </c>
      <c r="J183" s="1" t="str">
        <f t="shared" si="21"/>
        <v>Half Day</v>
      </c>
      <c r="K183" s="1" t="str">
        <f t="shared" si="22"/>
        <v>Half Day</v>
      </c>
      <c r="L183" s="1" t="str">
        <f t="shared" si="23"/>
        <v>✓ Match</v>
      </c>
      <c r="M183" s="24" t="str">
        <f t="shared" si="24"/>
        <v>CLEAN</v>
      </c>
    </row>
    <row r="184" spans="1:13" ht="15" customHeight="1" x14ac:dyDescent="0.35">
      <c r="A184" s="1" t="s">
        <v>79</v>
      </c>
      <c r="B184" s="2" t="s">
        <v>80</v>
      </c>
      <c r="C184" s="1" t="s">
        <v>18</v>
      </c>
      <c r="D184" s="1" t="s">
        <v>133</v>
      </c>
      <c r="E184" s="24" t="s">
        <v>19</v>
      </c>
      <c r="F184" s="1" t="s">
        <v>38</v>
      </c>
      <c r="G184" s="1" t="s">
        <v>97</v>
      </c>
      <c r="H184" s="3">
        <f t="shared" si="27"/>
        <v>8.9166666666666661</v>
      </c>
      <c r="I184" s="24" t="str">
        <f t="shared" si="20"/>
        <v>Late</v>
      </c>
      <c r="J184" s="1" t="str">
        <f t="shared" si="21"/>
        <v>Full Day</v>
      </c>
      <c r="K184" s="1" t="str">
        <f t="shared" si="22"/>
        <v>Full Day</v>
      </c>
      <c r="L184" s="1" t="str">
        <f t="shared" si="23"/>
        <v>✓ Match</v>
      </c>
      <c r="M184" s="24" t="str">
        <f t="shared" si="24"/>
        <v>CLEAN</v>
      </c>
    </row>
    <row r="185" spans="1:13" ht="15" customHeight="1" x14ac:dyDescent="0.35">
      <c r="A185" s="1" t="s">
        <v>22</v>
      </c>
      <c r="B185" s="2" t="s">
        <v>23</v>
      </c>
      <c r="C185" s="1" t="s">
        <v>24</v>
      </c>
      <c r="D185" s="1" t="s">
        <v>133</v>
      </c>
      <c r="E185" s="24" t="s">
        <v>19</v>
      </c>
      <c r="F185" s="1" t="s">
        <v>84</v>
      </c>
      <c r="G185" s="1" t="s">
        <v>94</v>
      </c>
      <c r="H185" s="3">
        <f t="shared" si="27"/>
        <v>10</v>
      </c>
      <c r="I185" s="24" t="str">
        <f t="shared" si="20"/>
        <v>Late</v>
      </c>
      <c r="J185" s="1" t="str">
        <f t="shared" si="21"/>
        <v>Full Day</v>
      </c>
      <c r="K185" s="1" t="str">
        <f t="shared" si="22"/>
        <v>Full Day</v>
      </c>
      <c r="L185" s="1" t="str">
        <f t="shared" si="23"/>
        <v>✓ Match</v>
      </c>
      <c r="M185" s="24" t="str">
        <f t="shared" si="24"/>
        <v>CLEAN</v>
      </c>
    </row>
    <row r="186" spans="1:13" ht="15" customHeight="1" x14ac:dyDescent="0.35">
      <c r="A186" s="1" t="s">
        <v>142</v>
      </c>
      <c r="B186" s="2" t="s">
        <v>143</v>
      </c>
      <c r="C186" s="1" t="s">
        <v>18</v>
      </c>
      <c r="D186" s="1" t="s">
        <v>133</v>
      </c>
      <c r="E186" s="24" t="s">
        <v>37</v>
      </c>
      <c r="F186" s="1" t="s">
        <v>152</v>
      </c>
      <c r="G186" s="1" t="s">
        <v>27</v>
      </c>
      <c r="H186" s="3">
        <f t="shared" si="27"/>
        <v>10.25</v>
      </c>
      <c r="I186" s="24" t="str">
        <f t="shared" si="20"/>
        <v>Late</v>
      </c>
      <c r="J186" s="1" t="str">
        <f t="shared" si="21"/>
        <v>Full Day</v>
      </c>
      <c r="K186" s="1" t="str">
        <f t="shared" si="22"/>
        <v>Full Day</v>
      </c>
      <c r="L186" s="1" t="str">
        <f t="shared" si="23"/>
        <v>✓ Match</v>
      </c>
      <c r="M186" s="24" t="str">
        <f t="shared" si="24"/>
        <v>CLEAN</v>
      </c>
    </row>
    <row r="187" spans="1:13" ht="15" customHeight="1" x14ac:dyDescent="0.35">
      <c r="A187" s="1" t="s">
        <v>9</v>
      </c>
      <c r="B187" s="2" t="s">
        <v>10</v>
      </c>
      <c r="C187" s="1" t="s">
        <v>11</v>
      </c>
      <c r="D187" s="1" t="s">
        <v>133</v>
      </c>
      <c r="E187" s="24" t="s">
        <v>19</v>
      </c>
      <c r="F187" s="1" t="s">
        <v>70</v>
      </c>
      <c r="G187" s="1" t="s">
        <v>123</v>
      </c>
      <c r="H187" s="3">
        <f t="shared" si="27"/>
        <v>9.4166666666666661</v>
      </c>
      <c r="I187" s="24" t="str">
        <f t="shared" si="20"/>
        <v>Late</v>
      </c>
      <c r="J187" s="1" t="str">
        <f t="shared" si="21"/>
        <v>Full Day</v>
      </c>
      <c r="K187" s="1" t="str">
        <f t="shared" si="22"/>
        <v>Full Day</v>
      </c>
      <c r="L187" s="1" t="str">
        <f t="shared" si="23"/>
        <v>✓ Match</v>
      </c>
      <c r="M187" s="24" t="str">
        <f t="shared" si="24"/>
        <v>CLEAN</v>
      </c>
    </row>
    <row r="188" spans="1:13" ht="15" customHeight="1" x14ac:dyDescent="0.35">
      <c r="A188" s="1" t="s">
        <v>134</v>
      </c>
      <c r="B188" s="2" t="s">
        <v>135</v>
      </c>
      <c r="C188" s="1" t="s">
        <v>68</v>
      </c>
      <c r="D188" s="1" t="s">
        <v>133</v>
      </c>
      <c r="E188" s="24" t="s">
        <v>19</v>
      </c>
      <c r="F188" s="1" t="s">
        <v>104</v>
      </c>
      <c r="G188" s="1" t="s">
        <v>155</v>
      </c>
      <c r="H188" s="3">
        <f t="shared" si="27"/>
        <v>7</v>
      </c>
      <c r="I188" s="24" t="str">
        <f t="shared" si="20"/>
        <v>Late</v>
      </c>
      <c r="J188" s="1" t="str">
        <f t="shared" si="21"/>
        <v>Half Day</v>
      </c>
      <c r="K188" s="1" t="str">
        <f t="shared" si="22"/>
        <v>Half Day</v>
      </c>
      <c r="L188" s="1" t="str">
        <f t="shared" si="23"/>
        <v>✓ Match</v>
      </c>
      <c r="M188" s="24" t="str">
        <f t="shared" si="24"/>
        <v>CLEAN</v>
      </c>
    </row>
    <row r="189" spans="1:13" ht="15" customHeight="1" x14ac:dyDescent="0.35">
      <c r="A189" s="1" t="s">
        <v>101</v>
      </c>
      <c r="B189" s="2" t="s">
        <v>102</v>
      </c>
      <c r="C189" s="1" t="s">
        <v>30</v>
      </c>
      <c r="D189" s="1" t="s">
        <v>133</v>
      </c>
      <c r="E189" s="24" t="s">
        <v>37</v>
      </c>
      <c r="F189" s="1" t="s">
        <v>163</v>
      </c>
      <c r="G189" s="1" t="s">
        <v>164</v>
      </c>
      <c r="H189" s="3">
        <f t="shared" si="27"/>
        <v>7.1666666666666661</v>
      </c>
      <c r="I189" s="24" t="str">
        <f t="shared" si="20"/>
        <v>On Time</v>
      </c>
      <c r="J189" s="1" t="str">
        <f t="shared" si="21"/>
        <v>Half Day</v>
      </c>
      <c r="K189" s="1" t="str">
        <f t="shared" si="22"/>
        <v>Half Day</v>
      </c>
      <c r="L189" s="1" t="str">
        <f t="shared" si="23"/>
        <v>✓ Match</v>
      </c>
      <c r="M189" s="24" t="str">
        <f t="shared" si="24"/>
        <v>CLEAN</v>
      </c>
    </row>
    <row r="190" spans="1:13" ht="15" customHeight="1" x14ac:dyDescent="0.35">
      <c r="A190" s="1" t="s">
        <v>28</v>
      </c>
      <c r="B190" s="2" t="s">
        <v>29</v>
      </c>
      <c r="C190" s="1" t="s">
        <v>30</v>
      </c>
      <c r="D190" s="1" t="s">
        <v>133</v>
      </c>
      <c r="E190" s="24" t="s">
        <v>19</v>
      </c>
      <c r="F190" s="1" t="s">
        <v>104</v>
      </c>
      <c r="G190" s="1" t="s">
        <v>108</v>
      </c>
      <c r="H190" s="3">
        <f t="shared" si="27"/>
        <v>10.333333333333332</v>
      </c>
      <c r="I190" s="24" t="str">
        <f t="shared" si="20"/>
        <v>Late</v>
      </c>
      <c r="J190" s="1" t="str">
        <f t="shared" si="21"/>
        <v>Full Day</v>
      </c>
      <c r="K190" s="1" t="str">
        <f t="shared" si="22"/>
        <v>Full Day</v>
      </c>
      <c r="L190" s="1" t="str">
        <f t="shared" si="23"/>
        <v>✓ Match</v>
      </c>
      <c r="M190" s="24" t="str">
        <f t="shared" si="24"/>
        <v>CLEAN</v>
      </c>
    </row>
    <row r="191" spans="1:13" ht="15" customHeight="1" x14ac:dyDescent="0.35">
      <c r="A191" s="1" t="s">
        <v>158</v>
      </c>
      <c r="B191" s="2" t="s">
        <v>159</v>
      </c>
      <c r="C191" s="1" t="s">
        <v>11</v>
      </c>
      <c r="D191" s="1" t="s">
        <v>133</v>
      </c>
      <c r="E191" s="24" t="s">
        <v>19</v>
      </c>
      <c r="F191" s="1" t="s">
        <v>152</v>
      </c>
      <c r="G191" s="1" t="s">
        <v>27</v>
      </c>
      <c r="H191" s="3">
        <f t="shared" si="27"/>
        <v>10.25</v>
      </c>
      <c r="I191" s="24" t="str">
        <f t="shared" si="20"/>
        <v>Late</v>
      </c>
      <c r="J191" s="1" t="str">
        <f t="shared" si="21"/>
        <v>Full Day</v>
      </c>
      <c r="K191" s="1" t="str">
        <f t="shared" si="22"/>
        <v>Full Day</v>
      </c>
      <c r="L191" s="1" t="str">
        <f t="shared" si="23"/>
        <v>✓ Match</v>
      </c>
      <c r="M191" s="24" t="str">
        <f t="shared" si="24"/>
        <v>CLEAN</v>
      </c>
    </row>
    <row r="192" spans="1:13" ht="15" customHeight="1" x14ac:dyDescent="0.35">
      <c r="A192" s="1" t="s">
        <v>66</v>
      </c>
      <c r="B192" s="2" t="s">
        <v>67</v>
      </c>
      <c r="C192" s="1" t="s">
        <v>68</v>
      </c>
      <c r="D192" s="1" t="s">
        <v>133</v>
      </c>
      <c r="E192" s="24" t="s">
        <v>19</v>
      </c>
      <c r="F192" s="1" t="s">
        <v>75</v>
      </c>
      <c r="G192" s="1" t="s">
        <v>39</v>
      </c>
      <c r="H192" s="3">
        <f t="shared" si="27"/>
        <v>10.5</v>
      </c>
      <c r="I192" s="24" t="str">
        <f t="shared" si="20"/>
        <v>On Time</v>
      </c>
      <c r="J192" s="1" t="str">
        <f t="shared" si="21"/>
        <v>Full Day</v>
      </c>
      <c r="K192" s="1" t="str">
        <f t="shared" si="22"/>
        <v>Full Day</v>
      </c>
      <c r="L192" s="1" t="str">
        <f t="shared" si="23"/>
        <v>✓ Match</v>
      </c>
      <c r="M192" s="24" t="str">
        <f t="shared" si="24"/>
        <v>CLEAN</v>
      </c>
    </row>
    <row r="193" spans="1:13" ht="15" customHeight="1" x14ac:dyDescent="0.35">
      <c r="A193" s="1" t="s">
        <v>98</v>
      </c>
      <c r="B193" s="2" t="s">
        <v>99</v>
      </c>
      <c r="C193" s="1" t="s">
        <v>18</v>
      </c>
      <c r="D193" s="1" t="s">
        <v>133</v>
      </c>
      <c r="E193" s="24" t="s">
        <v>19</v>
      </c>
      <c r="F193" s="1" t="s">
        <v>84</v>
      </c>
      <c r="G193" s="1" t="s">
        <v>108</v>
      </c>
      <c r="H193" s="3">
        <f t="shared" si="27"/>
        <v>11.249999999999998</v>
      </c>
      <c r="I193" s="24" t="str">
        <f t="shared" si="20"/>
        <v>Late</v>
      </c>
      <c r="J193" s="1" t="str">
        <f t="shared" si="21"/>
        <v>Full Day</v>
      </c>
      <c r="K193" s="1" t="str">
        <f t="shared" si="22"/>
        <v>Full Day</v>
      </c>
      <c r="L193" s="1" t="str">
        <f t="shared" si="23"/>
        <v>✓ Match</v>
      </c>
      <c r="M193" s="24" t="str">
        <f t="shared" si="24"/>
        <v>CLEAN</v>
      </c>
    </row>
    <row r="194" spans="1:13" ht="15" customHeight="1" x14ac:dyDescent="0.35">
      <c r="A194" s="1" t="s">
        <v>53</v>
      </c>
      <c r="B194" s="2" t="s">
        <v>54</v>
      </c>
      <c r="C194" s="1" t="s">
        <v>18</v>
      </c>
      <c r="D194" s="1" t="s">
        <v>133</v>
      </c>
      <c r="E194" s="24" t="s">
        <v>19</v>
      </c>
      <c r="F194" s="1" t="s">
        <v>100</v>
      </c>
      <c r="G194" s="1" t="s">
        <v>123</v>
      </c>
      <c r="H194" s="3">
        <f t="shared" si="27"/>
        <v>12.166666666666666</v>
      </c>
      <c r="I194" s="24" t="str">
        <f t="shared" si="20"/>
        <v>On Time</v>
      </c>
      <c r="J194" s="1" t="str">
        <f t="shared" si="21"/>
        <v>Full Day</v>
      </c>
      <c r="K194" s="1" t="str">
        <f t="shared" si="22"/>
        <v>Full Day</v>
      </c>
      <c r="L194" s="1" t="str">
        <f t="shared" si="23"/>
        <v>✓ Match</v>
      </c>
      <c r="M194" s="24" t="str">
        <f t="shared" si="24"/>
        <v>CLEAN</v>
      </c>
    </row>
    <row r="195" spans="1:13" ht="15" customHeight="1" x14ac:dyDescent="0.35">
      <c r="A195" s="1" t="s">
        <v>120</v>
      </c>
      <c r="B195" s="2" t="s">
        <v>121</v>
      </c>
      <c r="C195" s="1" t="s">
        <v>11</v>
      </c>
      <c r="D195" s="1" t="s">
        <v>133</v>
      </c>
      <c r="E195" s="24" t="s">
        <v>37</v>
      </c>
      <c r="F195" s="1" t="s">
        <v>20</v>
      </c>
      <c r="G195" s="1" t="s">
        <v>148</v>
      </c>
      <c r="H195" s="3">
        <f t="shared" si="27"/>
        <v>8</v>
      </c>
      <c r="I195" s="24" t="str">
        <f t="shared" ref="I195:I258" si="28">IF(F195="No Login","",IF(TIMEVALUE(F195)&gt;TIMEVALUE("09:00"),"Late","On Time"))</f>
        <v>On Time</v>
      </c>
      <c r="J195" s="1" t="str">
        <f t="shared" ref="J195:J258" si="29">IF(E195="Absent","Absent",IF(H195&gt;=8,"Full Day",IF(H195&gt;=4,"Half Day","Short")))</f>
        <v>Full Day</v>
      </c>
      <c r="K195" s="1" t="str">
        <f t="shared" ref="K195:K258" si="30">IF(E195="Absent","N/A",IF(H195&gt;=8,"Full Day",IF(H195&gt;=4,"Half Day","Short")))</f>
        <v>Full Day</v>
      </c>
      <c r="L195" s="1" t="str">
        <f t="shared" ref="L195:L258" si="31">IF(J195=K195,"✓ Match","⚠ Mismatch")</f>
        <v>✓ Match</v>
      </c>
      <c r="M195" s="24" t="str">
        <f t="shared" ref="M195:M258" si="32">IF(AND(J195=K195,OR(E195="Present",E195="Work From Home",E195="Absent")),"CLEAN","REVIEW")</f>
        <v>CLEAN</v>
      </c>
    </row>
    <row r="196" spans="1:13" ht="15" customHeight="1" x14ac:dyDescent="0.35">
      <c r="A196" s="1" t="s">
        <v>150</v>
      </c>
      <c r="B196" s="2" t="s">
        <v>151</v>
      </c>
      <c r="C196" s="1" t="s">
        <v>68</v>
      </c>
      <c r="D196" s="1" t="s">
        <v>133</v>
      </c>
      <c r="E196" s="24" t="s">
        <v>19</v>
      </c>
      <c r="F196" s="1" t="s">
        <v>100</v>
      </c>
      <c r="G196" s="1" t="s">
        <v>94</v>
      </c>
      <c r="H196" s="3">
        <f t="shared" si="27"/>
        <v>11.250000000000002</v>
      </c>
      <c r="I196" s="24" t="str">
        <f t="shared" si="28"/>
        <v>On Time</v>
      </c>
      <c r="J196" s="1" t="str">
        <f t="shared" si="29"/>
        <v>Full Day</v>
      </c>
      <c r="K196" s="1" t="str">
        <f t="shared" si="30"/>
        <v>Full Day</v>
      </c>
      <c r="L196" s="1" t="str">
        <f t="shared" si="31"/>
        <v>✓ Match</v>
      </c>
      <c r="M196" s="24" t="str">
        <f t="shared" si="32"/>
        <v>CLEAN</v>
      </c>
    </row>
    <row r="197" spans="1:13" ht="15" customHeight="1" x14ac:dyDescent="0.35">
      <c r="A197" s="1" t="s">
        <v>110</v>
      </c>
      <c r="B197" s="2" t="s">
        <v>111</v>
      </c>
      <c r="C197" s="1" t="s">
        <v>68</v>
      </c>
      <c r="D197" s="1" t="s">
        <v>133</v>
      </c>
      <c r="E197" s="24" t="s">
        <v>13</v>
      </c>
      <c r="F197" s="1" t="s">
        <v>14</v>
      </c>
      <c r="G197" s="1" t="s">
        <v>15</v>
      </c>
      <c r="H197" s="3">
        <v>0</v>
      </c>
      <c r="I197" s="24" t="str">
        <f t="shared" si="28"/>
        <v/>
      </c>
      <c r="J197" s="1" t="str">
        <f t="shared" si="29"/>
        <v>Absent</v>
      </c>
      <c r="K197" s="1" t="str">
        <f t="shared" si="30"/>
        <v>N/A</v>
      </c>
      <c r="L197" s="1" t="str">
        <f t="shared" si="31"/>
        <v>⚠ Mismatch</v>
      </c>
      <c r="M197" s="24" t="str">
        <f t="shared" si="32"/>
        <v>REVIEW</v>
      </c>
    </row>
    <row r="198" spans="1:13" ht="15" customHeight="1" x14ac:dyDescent="0.35">
      <c r="A198" s="1" t="s">
        <v>61</v>
      </c>
      <c r="B198" s="2" t="s">
        <v>62</v>
      </c>
      <c r="C198" s="1" t="s">
        <v>11</v>
      </c>
      <c r="D198" s="1" t="s">
        <v>133</v>
      </c>
      <c r="E198" s="24" t="s">
        <v>19</v>
      </c>
      <c r="F198" s="1" t="s">
        <v>32</v>
      </c>
      <c r="G198" s="1" t="s">
        <v>154</v>
      </c>
      <c r="H198" s="3">
        <f>IFERROR(MOD(TIMEVALUE(G198)-TIMEVALUE(F198),1)*24,0)</f>
        <v>8.1666666666666661</v>
      </c>
      <c r="I198" s="24" t="str">
        <f t="shared" si="28"/>
        <v>On Time</v>
      </c>
      <c r="J198" s="1" t="str">
        <f t="shared" si="29"/>
        <v>Full Day</v>
      </c>
      <c r="K198" s="1" t="str">
        <f t="shared" si="30"/>
        <v>Full Day</v>
      </c>
      <c r="L198" s="1" t="str">
        <f t="shared" si="31"/>
        <v>✓ Match</v>
      </c>
      <c r="M198" s="24" t="str">
        <f t="shared" si="32"/>
        <v>CLEAN</v>
      </c>
    </row>
    <row r="199" spans="1:13" ht="15" customHeight="1" x14ac:dyDescent="0.35">
      <c r="A199" s="1" t="s">
        <v>72</v>
      </c>
      <c r="B199" s="2" t="s">
        <v>73</v>
      </c>
      <c r="C199" s="1" t="s">
        <v>68</v>
      </c>
      <c r="D199" s="1" t="s">
        <v>133</v>
      </c>
      <c r="E199" s="24" t="s">
        <v>19</v>
      </c>
      <c r="F199" s="1" t="s">
        <v>138</v>
      </c>
      <c r="G199" s="1" t="s">
        <v>148</v>
      </c>
      <c r="H199" s="3">
        <f>IFERROR(MOD(TIMEVALUE(G199)-TIMEVALUE(F199),1)*24,0)</f>
        <v>7.583333333333333</v>
      </c>
      <c r="I199" s="24" t="str">
        <f t="shared" si="28"/>
        <v>Late</v>
      </c>
      <c r="J199" s="1" t="str">
        <f t="shared" si="29"/>
        <v>Half Day</v>
      </c>
      <c r="K199" s="1" t="str">
        <f t="shared" si="30"/>
        <v>Half Day</v>
      </c>
      <c r="L199" s="1" t="str">
        <f t="shared" si="31"/>
        <v>✓ Match</v>
      </c>
      <c r="M199" s="24" t="str">
        <f t="shared" si="32"/>
        <v>CLEAN</v>
      </c>
    </row>
    <row r="200" spans="1:13" ht="15" customHeight="1" x14ac:dyDescent="0.35">
      <c r="A200" s="1" t="s">
        <v>57</v>
      </c>
      <c r="B200" s="2" t="s">
        <v>58</v>
      </c>
      <c r="C200" s="1" t="s">
        <v>30</v>
      </c>
      <c r="D200" s="1" t="s">
        <v>133</v>
      </c>
      <c r="E200" s="24" t="s">
        <v>13</v>
      </c>
      <c r="F200" s="1" t="s">
        <v>14</v>
      </c>
      <c r="G200" s="1" t="s">
        <v>15</v>
      </c>
      <c r="H200" s="3">
        <v>0</v>
      </c>
      <c r="I200" s="24" t="str">
        <f t="shared" si="28"/>
        <v/>
      </c>
      <c r="J200" s="1" t="str">
        <f t="shared" si="29"/>
        <v>Absent</v>
      </c>
      <c r="K200" s="1" t="str">
        <f t="shared" si="30"/>
        <v>N/A</v>
      </c>
      <c r="L200" s="1" t="str">
        <f t="shared" si="31"/>
        <v>⚠ Mismatch</v>
      </c>
      <c r="M200" s="24" t="str">
        <f t="shared" si="32"/>
        <v>REVIEW</v>
      </c>
    </row>
    <row r="201" spans="1:13" ht="15" customHeight="1" x14ac:dyDescent="0.35">
      <c r="A201" s="1" t="s">
        <v>40</v>
      </c>
      <c r="B201" s="2" t="s">
        <v>41</v>
      </c>
      <c r="C201" s="1" t="s">
        <v>24</v>
      </c>
      <c r="D201" s="1" t="s">
        <v>133</v>
      </c>
      <c r="E201" s="24" t="s">
        <v>19</v>
      </c>
      <c r="F201" s="1" t="s">
        <v>43</v>
      </c>
      <c r="G201" s="1" t="s">
        <v>90</v>
      </c>
      <c r="H201" s="3">
        <f>IFERROR(MOD(TIMEVALUE(G201)-TIMEVALUE(F201),1)*24,0)</f>
        <v>11.5</v>
      </c>
      <c r="I201" s="24" t="str">
        <f t="shared" si="28"/>
        <v>On Time</v>
      </c>
      <c r="J201" s="1" t="str">
        <f t="shared" si="29"/>
        <v>Full Day</v>
      </c>
      <c r="K201" s="1" t="str">
        <f t="shared" si="30"/>
        <v>Full Day</v>
      </c>
      <c r="L201" s="1" t="str">
        <f t="shared" si="31"/>
        <v>✓ Match</v>
      </c>
      <c r="M201" s="24" t="str">
        <f t="shared" si="32"/>
        <v>CLEAN</v>
      </c>
    </row>
    <row r="202" spans="1:13" ht="15" customHeight="1" x14ac:dyDescent="0.35">
      <c r="A202" s="1" t="s">
        <v>130</v>
      </c>
      <c r="B202" s="2" t="s">
        <v>131</v>
      </c>
      <c r="C202" s="1" t="s">
        <v>11</v>
      </c>
      <c r="D202" s="1" t="s">
        <v>133</v>
      </c>
      <c r="E202" s="24" t="s">
        <v>37</v>
      </c>
      <c r="F202" s="1" t="s">
        <v>20</v>
      </c>
      <c r="G202" s="1" t="s">
        <v>65</v>
      </c>
      <c r="H202" s="3">
        <f>IFERROR(MOD(TIMEVALUE(G202)-TIMEVALUE(F202),1)*24,0)</f>
        <v>9.25</v>
      </c>
      <c r="I202" s="24" t="str">
        <f t="shared" si="28"/>
        <v>On Time</v>
      </c>
      <c r="J202" s="1" t="str">
        <f t="shared" si="29"/>
        <v>Full Day</v>
      </c>
      <c r="K202" s="1" t="str">
        <f t="shared" si="30"/>
        <v>Full Day</v>
      </c>
      <c r="L202" s="1" t="str">
        <f t="shared" si="31"/>
        <v>✓ Match</v>
      </c>
      <c r="M202" s="24" t="str">
        <f t="shared" si="32"/>
        <v>CLEAN</v>
      </c>
    </row>
    <row r="203" spans="1:13" ht="15" customHeight="1" x14ac:dyDescent="0.35">
      <c r="A203" s="1" t="s">
        <v>95</v>
      </c>
      <c r="B203" s="2" t="s">
        <v>96</v>
      </c>
      <c r="C203" s="1" t="s">
        <v>68</v>
      </c>
      <c r="D203" s="1" t="s">
        <v>133</v>
      </c>
      <c r="E203" s="24" t="s">
        <v>13</v>
      </c>
      <c r="F203" s="1" t="s">
        <v>14</v>
      </c>
      <c r="G203" s="1" t="s">
        <v>15</v>
      </c>
      <c r="H203" s="3">
        <v>0</v>
      </c>
      <c r="I203" s="24" t="str">
        <f t="shared" si="28"/>
        <v/>
      </c>
      <c r="J203" s="1" t="str">
        <f t="shared" si="29"/>
        <v>Absent</v>
      </c>
      <c r="K203" s="1" t="str">
        <f t="shared" si="30"/>
        <v>N/A</v>
      </c>
      <c r="L203" s="1" t="str">
        <f t="shared" si="31"/>
        <v>⚠ Mismatch</v>
      </c>
      <c r="M203" s="24" t="str">
        <f t="shared" si="32"/>
        <v>REVIEW</v>
      </c>
    </row>
    <row r="204" spans="1:13" ht="15" customHeight="1" x14ac:dyDescent="0.35">
      <c r="A204" s="1" t="s">
        <v>47</v>
      </c>
      <c r="B204" s="2" t="s">
        <v>48</v>
      </c>
      <c r="C204" s="1" t="s">
        <v>18</v>
      </c>
      <c r="D204" s="1" t="s">
        <v>133</v>
      </c>
      <c r="E204" s="24" t="s">
        <v>19</v>
      </c>
      <c r="F204" s="1" t="s">
        <v>84</v>
      </c>
      <c r="G204" s="1" t="s">
        <v>161</v>
      </c>
      <c r="H204" s="3">
        <f>IFERROR(MOD(TIMEVALUE(G204)-TIMEVALUE(F204),1)*24,0)</f>
        <v>8.9166666666666679</v>
      </c>
      <c r="I204" s="24" t="str">
        <f t="shared" si="28"/>
        <v>Late</v>
      </c>
      <c r="J204" s="1" t="str">
        <f t="shared" si="29"/>
        <v>Full Day</v>
      </c>
      <c r="K204" s="1" t="str">
        <f t="shared" si="30"/>
        <v>Full Day</v>
      </c>
      <c r="L204" s="1" t="str">
        <f t="shared" si="31"/>
        <v>✓ Match</v>
      </c>
      <c r="M204" s="24" t="str">
        <f t="shared" si="32"/>
        <v>CLEAN</v>
      </c>
    </row>
    <row r="205" spans="1:13" ht="15" customHeight="1" x14ac:dyDescent="0.35">
      <c r="A205" s="1" t="s">
        <v>105</v>
      </c>
      <c r="B205" s="2" t="s">
        <v>106</v>
      </c>
      <c r="C205" s="1" t="s">
        <v>11</v>
      </c>
      <c r="D205" s="1" t="s">
        <v>133</v>
      </c>
      <c r="E205" s="24" t="s">
        <v>13</v>
      </c>
      <c r="F205" s="1" t="s">
        <v>14</v>
      </c>
      <c r="G205" s="1" t="s">
        <v>15</v>
      </c>
      <c r="H205" s="3">
        <v>0</v>
      </c>
      <c r="I205" s="24" t="str">
        <f t="shared" si="28"/>
        <v/>
      </c>
      <c r="J205" s="1" t="str">
        <f t="shared" si="29"/>
        <v>Absent</v>
      </c>
      <c r="K205" s="1" t="str">
        <f t="shared" si="30"/>
        <v>N/A</v>
      </c>
      <c r="L205" s="1" t="str">
        <f t="shared" si="31"/>
        <v>⚠ Mismatch</v>
      </c>
      <c r="M205" s="24" t="str">
        <f t="shared" si="32"/>
        <v>REVIEW</v>
      </c>
    </row>
    <row r="206" spans="1:13" ht="15" customHeight="1" x14ac:dyDescent="0.35">
      <c r="A206" s="1" t="s">
        <v>112</v>
      </c>
      <c r="B206" s="2" t="s">
        <v>113</v>
      </c>
      <c r="C206" s="1" t="s">
        <v>30</v>
      </c>
      <c r="D206" s="1" t="s">
        <v>133</v>
      </c>
      <c r="E206" s="24" t="s">
        <v>37</v>
      </c>
      <c r="F206" s="1" t="s">
        <v>138</v>
      </c>
      <c r="G206" s="1" t="s">
        <v>85</v>
      </c>
      <c r="H206" s="3">
        <f>IFERROR(MOD(TIMEVALUE(G206)-TIMEVALUE(F206),1)*24,0)</f>
        <v>7.0000000000000018</v>
      </c>
      <c r="I206" s="24" t="str">
        <f t="shared" si="28"/>
        <v>Late</v>
      </c>
      <c r="J206" s="1" t="str">
        <f t="shared" si="29"/>
        <v>Half Day</v>
      </c>
      <c r="K206" s="1" t="str">
        <f t="shared" si="30"/>
        <v>Half Day</v>
      </c>
      <c r="L206" s="1" t="str">
        <f t="shared" si="31"/>
        <v>✓ Match</v>
      </c>
      <c r="M206" s="24" t="str">
        <f t="shared" si="32"/>
        <v>CLEAN</v>
      </c>
    </row>
    <row r="207" spans="1:13" ht="15" customHeight="1" x14ac:dyDescent="0.35">
      <c r="A207" s="1" t="s">
        <v>16</v>
      </c>
      <c r="B207" s="2" t="s">
        <v>17</v>
      </c>
      <c r="C207" s="1" t="s">
        <v>18</v>
      </c>
      <c r="D207" s="1" t="s">
        <v>133</v>
      </c>
      <c r="E207" s="24" t="s">
        <v>19</v>
      </c>
      <c r="F207" s="1" t="s">
        <v>64</v>
      </c>
      <c r="G207" s="1" t="s">
        <v>78</v>
      </c>
      <c r="H207" s="3">
        <f>IFERROR(MOD(TIMEVALUE(G207)-TIMEVALUE(F207),1)*24,0)</f>
        <v>9.6666666666666679</v>
      </c>
      <c r="I207" s="24" t="str">
        <f t="shared" si="28"/>
        <v>On Time</v>
      </c>
      <c r="J207" s="1" t="str">
        <f t="shared" si="29"/>
        <v>Full Day</v>
      </c>
      <c r="K207" s="1" t="str">
        <f t="shared" si="30"/>
        <v>Full Day</v>
      </c>
      <c r="L207" s="1" t="str">
        <f t="shared" si="31"/>
        <v>✓ Match</v>
      </c>
      <c r="M207" s="24" t="str">
        <f t="shared" si="32"/>
        <v>CLEAN</v>
      </c>
    </row>
    <row r="208" spans="1:13" ht="15" customHeight="1" x14ac:dyDescent="0.35">
      <c r="A208" s="1" t="s">
        <v>76</v>
      </c>
      <c r="B208" s="2" t="s">
        <v>77</v>
      </c>
      <c r="C208" s="1" t="s">
        <v>68</v>
      </c>
      <c r="D208" s="1" t="s">
        <v>133</v>
      </c>
      <c r="E208" s="24" t="s">
        <v>19</v>
      </c>
      <c r="F208" s="1" t="s">
        <v>93</v>
      </c>
      <c r="G208" s="1" t="s">
        <v>108</v>
      </c>
      <c r="H208" s="3">
        <f>IFERROR(MOD(TIMEVALUE(G208)-TIMEVALUE(F208),1)*24,0)</f>
        <v>10.166666666666664</v>
      </c>
      <c r="I208" s="24" t="str">
        <f t="shared" si="28"/>
        <v>Late</v>
      </c>
      <c r="J208" s="1" t="str">
        <f t="shared" si="29"/>
        <v>Full Day</v>
      </c>
      <c r="K208" s="1" t="str">
        <f t="shared" si="30"/>
        <v>Full Day</v>
      </c>
      <c r="L208" s="1" t="str">
        <f t="shared" si="31"/>
        <v>✓ Match</v>
      </c>
      <c r="M208" s="24" t="str">
        <f t="shared" si="32"/>
        <v>CLEAN</v>
      </c>
    </row>
    <row r="209" spans="1:13" ht="15" customHeight="1" x14ac:dyDescent="0.35">
      <c r="A209" s="1" t="s">
        <v>45</v>
      </c>
      <c r="B209" s="2" t="s">
        <v>46</v>
      </c>
      <c r="C209" s="1" t="s">
        <v>18</v>
      </c>
      <c r="D209" s="1" t="s">
        <v>133</v>
      </c>
      <c r="E209" s="24" t="s">
        <v>19</v>
      </c>
      <c r="F209" s="1" t="s">
        <v>137</v>
      </c>
      <c r="G209" s="1" t="s">
        <v>155</v>
      </c>
      <c r="H209" s="3">
        <f>IFERROR(MOD(TIMEVALUE(G209)-TIMEVALUE(F209),1)*24,0)</f>
        <v>8.0833333333333321</v>
      </c>
      <c r="I209" s="24" t="str">
        <f t="shared" si="28"/>
        <v>Late</v>
      </c>
      <c r="J209" s="1" t="str">
        <f t="shared" si="29"/>
        <v>Full Day</v>
      </c>
      <c r="K209" s="1" t="str">
        <f t="shared" si="30"/>
        <v>Full Day</v>
      </c>
      <c r="L209" s="1" t="str">
        <f t="shared" si="31"/>
        <v>✓ Match</v>
      </c>
      <c r="M209" s="24" t="str">
        <f t="shared" si="32"/>
        <v>CLEAN</v>
      </c>
    </row>
    <row r="210" spans="1:13" ht="15" customHeight="1" x14ac:dyDescent="0.35">
      <c r="A210" s="1" t="s">
        <v>124</v>
      </c>
      <c r="B210" s="2" t="s">
        <v>125</v>
      </c>
      <c r="C210" s="1" t="s">
        <v>68</v>
      </c>
      <c r="D210" s="1" t="s">
        <v>133</v>
      </c>
      <c r="E210" s="24" t="s">
        <v>13</v>
      </c>
      <c r="F210" s="1" t="s">
        <v>14</v>
      </c>
      <c r="G210" s="1" t="s">
        <v>15</v>
      </c>
      <c r="H210" s="3">
        <v>0</v>
      </c>
      <c r="I210" s="24" t="str">
        <f t="shared" si="28"/>
        <v/>
      </c>
      <c r="J210" s="1" t="str">
        <f t="shared" si="29"/>
        <v>Absent</v>
      </c>
      <c r="K210" s="1" t="str">
        <f t="shared" si="30"/>
        <v>N/A</v>
      </c>
      <c r="L210" s="1" t="str">
        <f t="shared" si="31"/>
        <v>⚠ Mismatch</v>
      </c>
      <c r="M210" s="24" t="str">
        <f t="shared" si="32"/>
        <v>REVIEW</v>
      </c>
    </row>
    <row r="211" spans="1:13" ht="15" customHeight="1" x14ac:dyDescent="0.35">
      <c r="A211" s="1" t="s">
        <v>91</v>
      </c>
      <c r="B211" s="2" t="s">
        <v>92</v>
      </c>
      <c r="C211" s="1" t="s">
        <v>18</v>
      </c>
      <c r="D211" s="1" t="s">
        <v>133</v>
      </c>
      <c r="E211" s="24" t="s">
        <v>19</v>
      </c>
      <c r="F211" s="1" t="s">
        <v>89</v>
      </c>
      <c r="G211" s="1" t="s">
        <v>123</v>
      </c>
      <c r="H211" s="3">
        <f>IFERROR(MOD(TIMEVALUE(G211)-TIMEVALUE(F211),1)*24,0)</f>
        <v>10.166666666666666</v>
      </c>
      <c r="I211" s="24" t="str">
        <f t="shared" si="28"/>
        <v>Late</v>
      </c>
      <c r="J211" s="1" t="str">
        <f t="shared" si="29"/>
        <v>Full Day</v>
      </c>
      <c r="K211" s="1" t="str">
        <f t="shared" si="30"/>
        <v>Full Day</v>
      </c>
      <c r="L211" s="1" t="str">
        <f t="shared" si="31"/>
        <v>✓ Match</v>
      </c>
      <c r="M211" s="24" t="str">
        <f t="shared" si="32"/>
        <v>CLEAN</v>
      </c>
    </row>
    <row r="212" spans="1:13" ht="15" customHeight="1" x14ac:dyDescent="0.35">
      <c r="A212" s="1" t="s">
        <v>82</v>
      </c>
      <c r="B212" s="2" t="s">
        <v>83</v>
      </c>
      <c r="C212" s="1" t="s">
        <v>68</v>
      </c>
      <c r="D212" s="1" t="s">
        <v>133</v>
      </c>
      <c r="E212" s="24" t="s">
        <v>13</v>
      </c>
      <c r="F212" s="1" t="s">
        <v>14</v>
      </c>
      <c r="G212" s="1" t="s">
        <v>15</v>
      </c>
      <c r="H212" s="3">
        <v>0</v>
      </c>
      <c r="I212" s="24" t="str">
        <f t="shared" si="28"/>
        <v/>
      </c>
      <c r="J212" s="1" t="str">
        <f t="shared" si="29"/>
        <v>Absent</v>
      </c>
      <c r="K212" s="1" t="str">
        <f t="shared" si="30"/>
        <v>N/A</v>
      </c>
      <c r="L212" s="1" t="str">
        <f t="shared" si="31"/>
        <v>⚠ Mismatch</v>
      </c>
      <c r="M212" s="24" t="str">
        <f t="shared" si="32"/>
        <v>REVIEW</v>
      </c>
    </row>
    <row r="213" spans="1:13" ht="15" customHeight="1" x14ac:dyDescent="0.35">
      <c r="A213" s="1" t="s">
        <v>47</v>
      </c>
      <c r="B213" s="2" t="s">
        <v>48</v>
      </c>
      <c r="C213" s="1" t="s">
        <v>18</v>
      </c>
      <c r="D213" s="1" t="s">
        <v>49</v>
      </c>
      <c r="E213" s="24" t="s">
        <v>19</v>
      </c>
      <c r="F213" s="1" t="s">
        <v>32</v>
      </c>
      <c r="G213" s="1" t="s">
        <v>50</v>
      </c>
      <c r="H213" s="3">
        <f>IFERROR(MOD(TIMEVALUE(G213)-TIMEVALUE(F213),1)*24,0)</f>
        <v>8.8333333333333357</v>
      </c>
      <c r="I213" s="24" t="str">
        <f t="shared" si="28"/>
        <v>On Time</v>
      </c>
      <c r="J213" s="1" t="str">
        <f t="shared" si="29"/>
        <v>Full Day</v>
      </c>
      <c r="K213" s="1" t="str">
        <f t="shared" si="30"/>
        <v>Full Day</v>
      </c>
      <c r="L213" s="1" t="str">
        <f t="shared" si="31"/>
        <v>✓ Match</v>
      </c>
      <c r="M213" s="24" t="str">
        <f t="shared" si="32"/>
        <v>CLEAN</v>
      </c>
    </row>
    <row r="214" spans="1:13" ht="15" customHeight="1" x14ac:dyDescent="0.35">
      <c r="A214" s="1" t="s">
        <v>124</v>
      </c>
      <c r="B214" s="2" t="s">
        <v>125</v>
      </c>
      <c r="C214" s="1" t="s">
        <v>68</v>
      </c>
      <c r="D214" s="1" t="s">
        <v>49</v>
      </c>
      <c r="E214" s="24" t="s">
        <v>13</v>
      </c>
      <c r="F214" s="1" t="s">
        <v>14</v>
      </c>
      <c r="G214" s="1" t="s">
        <v>15</v>
      </c>
      <c r="H214" s="3">
        <v>0</v>
      </c>
      <c r="I214" s="24" t="str">
        <f t="shared" si="28"/>
        <v/>
      </c>
      <c r="J214" s="1" t="str">
        <f t="shared" si="29"/>
        <v>Absent</v>
      </c>
      <c r="K214" s="1" t="str">
        <f t="shared" si="30"/>
        <v>N/A</v>
      </c>
      <c r="L214" s="1" t="str">
        <f t="shared" si="31"/>
        <v>⚠ Mismatch</v>
      </c>
      <c r="M214" s="24" t="str">
        <f t="shared" si="32"/>
        <v>REVIEW</v>
      </c>
    </row>
    <row r="215" spans="1:13" ht="15" customHeight="1" x14ac:dyDescent="0.35">
      <c r="A215" s="1" t="s">
        <v>130</v>
      </c>
      <c r="B215" s="2" t="s">
        <v>131</v>
      </c>
      <c r="C215" s="1" t="s">
        <v>11</v>
      </c>
      <c r="D215" s="1" t="s">
        <v>49</v>
      </c>
      <c r="E215" s="24" t="s">
        <v>37</v>
      </c>
      <c r="F215" s="1" t="s">
        <v>122</v>
      </c>
      <c r="G215" s="1" t="s">
        <v>148</v>
      </c>
      <c r="H215" s="3">
        <f>IFERROR(MOD(TIMEVALUE(G215)-TIMEVALUE(F215),1)*24,0)</f>
        <v>7.4166666666666661</v>
      </c>
      <c r="I215" s="24" t="str">
        <f t="shared" si="28"/>
        <v>Late</v>
      </c>
      <c r="J215" s="1" t="str">
        <f t="shared" si="29"/>
        <v>Half Day</v>
      </c>
      <c r="K215" s="1" t="str">
        <f t="shared" si="30"/>
        <v>Half Day</v>
      </c>
      <c r="L215" s="1" t="str">
        <f t="shared" si="31"/>
        <v>✓ Match</v>
      </c>
      <c r="M215" s="24" t="str">
        <f t="shared" si="32"/>
        <v>CLEAN</v>
      </c>
    </row>
    <row r="216" spans="1:13" ht="15" customHeight="1" x14ac:dyDescent="0.35">
      <c r="A216" s="1" t="s">
        <v>45</v>
      </c>
      <c r="B216" s="2" t="s">
        <v>46</v>
      </c>
      <c r="C216" s="1" t="s">
        <v>18</v>
      </c>
      <c r="D216" s="1" t="s">
        <v>49</v>
      </c>
      <c r="E216" s="24" t="s">
        <v>19</v>
      </c>
      <c r="F216" s="1" t="s">
        <v>43</v>
      </c>
      <c r="G216" s="1" t="s">
        <v>156</v>
      </c>
      <c r="H216" s="3">
        <f>IFERROR(MOD(TIMEVALUE(G216)-TIMEVALUE(F216),1)*24,0)</f>
        <v>8.9999999999999982</v>
      </c>
      <c r="I216" s="24" t="str">
        <f t="shared" si="28"/>
        <v>On Time</v>
      </c>
      <c r="J216" s="1" t="str">
        <f t="shared" si="29"/>
        <v>Full Day</v>
      </c>
      <c r="K216" s="1" t="str">
        <f t="shared" si="30"/>
        <v>Full Day</v>
      </c>
      <c r="L216" s="1" t="str">
        <f t="shared" si="31"/>
        <v>✓ Match</v>
      </c>
      <c r="M216" s="24" t="str">
        <f t="shared" si="32"/>
        <v>CLEAN</v>
      </c>
    </row>
    <row r="217" spans="1:13" ht="15" customHeight="1" x14ac:dyDescent="0.35">
      <c r="A217" s="1" t="s">
        <v>76</v>
      </c>
      <c r="B217" s="2" t="s">
        <v>77</v>
      </c>
      <c r="C217" s="1" t="s">
        <v>68</v>
      </c>
      <c r="D217" s="1" t="s">
        <v>49</v>
      </c>
      <c r="E217" s="24" t="s">
        <v>19</v>
      </c>
      <c r="F217" s="1" t="s">
        <v>26</v>
      </c>
      <c r="G217" s="1" t="s">
        <v>21</v>
      </c>
      <c r="H217" s="3">
        <f>IFERROR(MOD(TIMEVALUE(G217)-TIMEVALUE(F217),1)*24,0)</f>
        <v>9.4166666666666661</v>
      </c>
      <c r="I217" s="24" t="str">
        <f t="shared" si="28"/>
        <v>Late</v>
      </c>
      <c r="J217" s="1" t="str">
        <f t="shared" si="29"/>
        <v>Full Day</v>
      </c>
      <c r="K217" s="1" t="str">
        <f t="shared" si="30"/>
        <v>Full Day</v>
      </c>
      <c r="L217" s="1" t="str">
        <f t="shared" si="31"/>
        <v>✓ Match</v>
      </c>
      <c r="M217" s="24" t="str">
        <f t="shared" si="32"/>
        <v>CLEAN</v>
      </c>
    </row>
    <row r="218" spans="1:13" ht="15" customHeight="1" x14ac:dyDescent="0.35">
      <c r="A218" s="1" t="s">
        <v>28</v>
      </c>
      <c r="B218" s="2" t="s">
        <v>29</v>
      </c>
      <c r="C218" s="1" t="s">
        <v>30</v>
      </c>
      <c r="D218" s="1" t="s">
        <v>49</v>
      </c>
      <c r="E218" s="24" t="s">
        <v>19</v>
      </c>
      <c r="F218" s="1" t="s">
        <v>20</v>
      </c>
      <c r="G218" s="1" t="s">
        <v>97</v>
      </c>
      <c r="H218" s="3">
        <f>IFERROR(MOD(TIMEVALUE(G218)-TIMEVALUE(F218),1)*24,0)</f>
        <v>11.5</v>
      </c>
      <c r="I218" s="24" t="str">
        <f t="shared" si="28"/>
        <v>On Time</v>
      </c>
      <c r="J218" s="1" t="str">
        <f t="shared" si="29"/>
        <v>Full Day</v>
      </c>
      <c r="K218" s="1" t="str">
        <f t="shared" si="30"/>
        <v>Full Day</v>
      </c>
      <c r="L218" s="1" t="str">
        <f t="shared" si="31"/>
        <v>✓ Match</v>
      </c>
      <c r="M218" s="24" t="str">
        <f t="shared" si="32"/>
        <v>CLEAN</v>
      </c>
    </row>
    <row r="219" spans="1:13" ht="15" customHeight="1" x14ac:dyDescent="0.35">
      <c r="A219" s="1" t="s">
        <v>53</v>
      </c>
      <c r="B219" s="2" t="s">
        <v>54</v>
      </c>
      <c r="C219" s="1" t="s">
        <v>18</v>
      </c>
      <c r="D219" s="1" t="s">
        <v>49</v>
      </c>
      <c r="E219" s="24" t="s">
        <v>13</v>
      </c>
      <c r="F219" s="1" t="s">
        <v>14</v>
      </c>
      <c r="G219" s="1" t="s">
        <v>15</v>
      </c>
      <c r="H219" s="3">
        <v>0</v>
      </c>
      <c r="I219" s="24" t="str">
        <f t="shared" si="28"/>
        <v/>
      </c>
      <c r="J219" s="1" t="str">
        <f t="shared" si="29"/>
        <v>Absent</v>
      </c>
      <c r="K219" s="1" t="str">
        <f t="shared" si="30"/>
        <v>N/A</v>
      </c>
      <c r="L219" s="1" t="str">
        <f t="shared" si="31"/>
        <v>⚠ Mismatch</v>
      </c>
      <c r="M219" s="24" t="str">
        <f t="shared" si="32"/>
        <v>REVIEW</v>
      </c>
    </row>
    <row r="220" spans="1:13" ht="15" customHeight="1" x14ac:dyDescent="0.35">
      <c r="A220" s="1" t="s">
        <v>105</v>
      </c>
      <c r="B220" s="2" t="s">
        <v>106</v>
      </c>
      <c r="C220" s="1" t="s">
        <v>11</v>
      </c>
      <c r="D220" s="1" t="s">
        <v>49</v>
      </c>
      <c r="E220" s="24" t="s">
        <v>19</v>
      </c>
      <c r="F220" s="1" t="s">
        <v>140</v>
      </c>
      <c r="G220" s="1" t="s">
        <v>78</v>
      </c>
      <c r="H220" s="3">
        <f t="shared" ref="H220:H228" si="33">IFERROR(MOD(TIMEVALUE(G220)-TIMEVALUE(F220),1)*24,0)</f>
        <v>8</v>
      </c>
      <c r="I220" s="24" t="str">
        <f t="shared" si="28"/>
        <v>Late</v>
      </c>
      <c r="J220" s="1" t="str">
        <f t="shared" si="29"/>
        <v>Full Day</v>
      </c>
      <c r="K220" s="1" t="str">
        <f t="shared" si="30"/>
        <v>Full Day</v>
      </c>
      <c r="L220" s="1" t="str">
        <f t="shared" si="31"/>
        <v>✓ Match</v>
      </c>
      <c r="M220" s="24" t="str">
        <f t="shared" si="32"/>
        <v>CLEAN</v>
      </c>
    </row>
    <row r="221" spans="1:13" ht="15" customHeight="1" x14ac:dyDescent="0.35">
      <c r="A221" s="1" t="s">
        <v>79</v>
      </c>
      <c r="B221" s="2" t="s">
        <v>80</v>
      </c>
      <c r="C221" s="1" t="s">
        <v>18</v>
      </c>
      <c r="D221" s="1" t="s">
        <v>49</v>
      </c>
      <c r="E221" s="24" t="s">
        <v>19</v>
      </c>
      <c r="F221" s="1" t="s">
        <v>75</v>
      </c>
      <c r="G221" s="1" t="s">
        <v>156</v>
      </c>
      <c r="H221" s="3">
        <f t="shared" si="33"/>
        <v>9.25</v>
      </c>
      <c r="I221" s="24" t="str">
        <f t="shared" si="28"/>
        <v>On Time</v>
      </c>
      <c r="J221" s="1" t="str">
        <f t="shared" si="29"/>
        <v>Full Day</v>
      </c>
      <c r="K221" s="1" t="str">
        <f t="shared" si="30"/>
        <v>Full Day</v>
      </c>
      <c r="L221" s="1" t="str">
        <f t="shared" si="31"/>
        <v>✓ Match</v>
      </c>
      <c r="M221" s="24" t="str">
        <f t="shared" si="32"/>
        <v>CLEAN</v>
      </c>
    </row>
    <row r="222" spans="1:13" ht="15" customHeight="1" x14ac:dyDescent="0.35">
      <c r="A222" s="1" t="s">
        <v>120</v>
      </c>
      <c r="B222" s="2" t="s">
        <v>121</v>
      </c>
      <c r="C222" s="1" t="s">
        <v>11</v>
      </c>
      <c r="D222" s="1" t="s">
        <v>49</v>
      </c>
      <c r="E222" s="24" t="s">
        <v>19</v>
      </c>
      <c r="F222" s="1" t="s">
        <v>89</v>
      </c>
      <c r="G222" s="1" t="s">
        <v>90</v>
      </c>
      <c r="H222" s="3">
        <f t="shared" si="33"/>
        <v>10</v>
      </c>
      <c r="I222" s="24" t="str">
        <f t="shared" si="28"/>
        <v>Late</v>
      </c>
      <c r="J222" s="1" t="str">
        <f t="shared" si="29"/>
        <v>Full Day</v>
      </c>
      <c r="K222" s="1" t="str">
        <f t="shared" si="30"/>
        <v>Full Day</v>
      </c>
      <c r="L222" s="1" t="str">
        <f t="shared" si="31"/>
        <v>✓ Match</v>
      </c>
      <c r="M222" s="24" t="str">
        <f t="shared" si="32"/>
        <v>CLEAN</v>
      </c>
    </row>
    <row r="223" spans="1:13" ht="15" customHeight="1" x14ac:dyDescent="0.35">
      <c r="A223" s="1" t="s">
        <v>57</v>
      </c>
      <c r="B223" s="2" t="s">
        <v>58</v>
      </c>
      <c r="C223" s="1" t="s">
        <v>30</v>
      </c>
      <c r="D223" s="1" t="s">
        <v>49</v>
      </c>
      <c r="E223" s="24" t="s">
        <v>19</v>
      </c>
      <c r="F223" s="1" t="s">
        <v>122</v>
      </c>
      <c r="G223" s="1" t="s">
        <v>154</v>
      </c>
      <c r="H223" s="3">
        <f t="shared" si="33"/>
        <v>6.9999999999999982</v>
      </c>
      <c r="I223" s="24" t="str">
        <f t="shared" si="28"/>
        <v>Late</v>
      </c>
      <c r="J223" s="1" t="str">
        <f t="shared" si="29"/>
        <v>Half Day</v>
      </c>
      <c r="K223" s="1" t="str">
        <f t="shared" si="30"/>
        <v>Half Day</v>
      </c>
      <c r="L223" s="1" t="str">
        <f t="shared" si="31"/>
        <v>✓ Match</v>
      </c>
      <c r="M223" s="24" t="str">
        <f t="shared" si="32"/>
        <v>CLEAN</v>
      </c>
    </row>
    <row r="224" spans="1:13" ht="15" customHeight="1" x14ac:dyDescent="0.35">
      <c r="A224" s="1" t="s">
        <v>95</v>
      </c>
      <c r="B224" s="2" t="s">
        <v>96</v>
      </c>
      <c r="C224" s="1" t="s">
        <v>68</v>
      </c>
      <c r="D224" s="1" t="s">
        <v>49</v>
      </c>
      <c r="E224" s="24" t="s">
        <v>19</v>
      </c>
      <c r="F224" s="1" t="s">
        <v>64</v>
      </c>
      <c r="G224" s="1" t="s">
        <v>123</v>
      </c>
      <c r="H224" s="3">
        <f t="shared" si="33"/>
        <v>12.083333333333332</v>
      </c>
      <c r="I224" s="24" t="str">
        <f t="shared" si="28"/>
        <v>On Time</v>
      </c>
      <c r="J224" s="1" t="str">
        <f t="shared" si="29"/>
        <v>Full Day</v>
      </c>
      <c r="K224" s="1" t="str">
        <f t="shared" si="30"/>
        <v>Full Day</v>
      </c>
      <c r="L224" s="1" t="str">
        <f t="shared" si="31"/>
        <v>✓ Match</v>
      </c>
      <c r="M224" s="24" t="str">
        <f t="shared" si="32"/>
        <v>CLEAN</v>
      </c>
    </row>
    <row r="225" spans="1:13" ht="15" customHeight="1" x14ac:dyDescent="0.35">
      <c r="A225" s="1" t="s">
        <v>117</v>
      </c>
      <c r="B225" s="2" t="s">
        <v>118</v>
      </c>
      <c r="C225" s="1" t="s">
        <v>30</v>
      </c>
      <c r="D225" s="1" t="s">
        <v>49</v>
      </c>
      <c r="E225" s="24" t="s">
        <v>19</v>
      </c>
      <c r="F225" s="1" t="s">
        <v>128</v>
      </c>
      <c r="G225" s="1" t="s">
        <v>21</v>
      </c>
      <c r="H225" s="3">
        <f t="shared" si="33"/>
        <v>10</v>
      </c>
      <c r="I225" s="24" t="str">
        <f t="shared" si="28"/>
        <v>Late</v>
      </c>
      <c r="J225" s="1" t="str">
        <f t="shared" si="29"/>
        <v>Full Day</v>
      </c>
      <c r="K225" s="1" t="str">
        <f t="shared" si="30"/>
        <v>Full Day</v>
      </c>
      <c r="L225" s="1" t="str">
        <f t="shared" si="31"/>
        <v>✓ Match</v>
      </c>
      <c r="M225" s="24" t="str">
        <f t="shared" si="32"/>
        <v>CLEAN</v>
      </c>
    </row>
    <row r="226" spans="1:13" ht="15" customHeight="1" x14ac:dyDescent="0.35">
      <c r="A226" s="1" t="s">
        <v>82</v>
      </c>
      <c r="B226" s="2" t="s">
        <v>83</v>
      </c>
      <c r="C226" s="1" t="s">
        <v>68</v>
      </c>
      <c r="D226" s="1" t="s">
        <v>49</v>
      </c>
      <c r="E226" s="24" t="s">
        <v>19</v>
      </c>
      <c r="F226" s="1" t="s">
        <v>100</v>
      </c>
      <c r="G226" s="1" t="s">
        <v>165</v>
      </c>
      <c r="H226" s="3">
        <f t="shared" si="33"/>
        <v>8.2500000000000018</v>
      </c>
      <c r="I226" s="24" t="str">
        <f t="shared" si="28"/>
        <v>On Time</v>
      </c>
      <c r="J226" s="1" t="str">
        <f t="shared" si="29"/>
        <v>Full Day</v>
      </c>
      <c r="K226" s="1" t="str">
        <f t="shared" si="30"/>
        <v>Full Day</v>
      </c>
      <c r="L226" s="1" t="str">
        <f t="shared" si="31"/>
        <v>✓ Match</v>
      </c>
      <c r="M226" s="24" t="str">
        <f t="shared" si="32"/>
        <v>CLEAN</v>
      </c>
    </row>
    <row r="227" spans="1:13" ht="15" customHeight="1" x14ac:dyDescent="0.35">
      <c r="A227" s="1" t="s">
        <v>98</v>
      </c>
      <c r="B227" s="2" t="s">
        <v>99</v>
      </c>
      <c r="C227" s="1" t="s">
        <v>18</v>
      </c>
      <c r="D227" s="1" t="s">
        <v>49</v>
      </c>
      <c r="E227" s="24" t="s">
        <v>19</v>
      </c>
      <c r="F227" s="1" t="s">
        <v>104</v>
      </c>
      <c r="G227" s="1" t="s">
        <v>90</v>
      </c>
      <c r="H227" s="3">
        <f t="shared" si="33"/>
        <v>9.8333333333333339</v>
      </c>
      <c r="I227" s="24" t="str">
        <f t="shared" si="28"/>
        <v>Late</v>
      </c>
      <c r="J227" s="1" t="str">
        <f t="shared" si="29"/>
        <v>Full Day</v>
      </c>
      <c r="K227" s="1" t="str">
        <f t="shared" si="30"/>
        <v>Full Day</v>
      </c>
      <c r="L227" s="1" t="str">
        <f t="shared" si="31"/>
        <v>✓ Match</v>
      </c>
      <c r="M227" s="24" t="str">
        <f t="shared" si="32"/>
        <v>CLEAN</v>
      </c>
    </row>
    <row r="228" spans="1:13" ht="15" customHeight="1" x14ac:dyDescent="0.35">
      <c r="A228" s="1" t="s">
        <v>72</v>
      </c>
      <c r="B228" s="2" t="s">
        <v>73</v>
      </c>
      <c r="C228" s="1" t="s">
        <v>68</v>
      </c>
      <c r="D228" s="1" t="s">
        <v>49</v>
      </c>
      <c r="E228" s="24" t="s">
        <v>19</v>
      </c>
      <c r="F228" s="1" t="s">
        <v>26</v>
      </c>
      <c r="G228" s="1" t="s">
        <v>153</v>
      </c>
      <c r="H228" s="3">
        <f t="shared" si="33"/>
        <v>10.25</v>
      </c>
      <c r="I228" s="24" t="str">
        <f t="shared" si="28"/>
        <v>Late</v>
      </c>
      <c r="J228" s="1" t="str">
        <f t="shared" si="29"/>
        <v>Full Day</v>
      </c>
      <c r="K228" s="1" t="str">
        <f t="shared" si="30"/>
        <v>Full Day</v>
      </c>
      <c r="L228" s="1" t="str">
        <f t="shared" si="31"/>
        <v>✓ Match</v>
      </c>
      <c r="M228" s="24" t="str">
        <f t="shared" si="32"/>
        <v>CLEAN</v>
      </c>
    </row>
    <row r="229" spans="1:13" ht="15" customHeight="1" x14ac:dyDescent="0.35">
      <c r="A229" s="1" t="s">
        <v>110</v>
      </c>
      <c r="B229" s="2" t="s">
        <v>111</v>
      </c>
      <c r="C229" s="1" t="s">
        <v>68</v>
      </c>
      <c r="D229" s="1" t="s">
        <v>49</v>
      </c>
      <c r="E229" s="24" t="s">
        <v>13</v>
      </c>
      <c r="F229" s="1" t="s">
        <v>14</v>
      </c>
      <c r="G229" s="1" t="s">
        <v>15</v>
      </c>
      <c r="H229" s="3">
        <v>0</v>
      </c>
      <c r="I229" s="24" t="str">
        <f t="shared" si="28"/>
        <v/>
      </c>
      <c r="J229" s="1" t="str">
        <f t="shared" si="29"/>
        <v>Absent</v>
      </c>
      <c r="K229" s="1" t="str">
        <f t="shared" si="30"/>
        <v>N/A</v>
      </c>
      <c r="L229" s="1" t="str">
        <f t="shared" si="31"/>
        <v>⚠ Mismatch</v>
      </c>
      <c r="M229" s="24" t="str">
        <f t="shared" si="32"/>
        <v>REVIEW</v>
      </c>
    </row>
    <row r="230" spans="1:13" ht="15" customHeight="1" x14ac:dyDescent="0.35">
      <c r="A230" s="1" t="s">
        <v>66</v>
      </c>
      <c r="B230" s="2" t="s">
        <v>67</v>
      </c>
      <c r="C230" s="1" t="s">
        <v>68</v>
      </c>
      <c r="D230" s="1" t="s">
        <v>49</v>
      </c>
      <c r="E230" s="24" t="s">
        <v>13</v>
      </c>
      <c r="F230" s="1" t="s">
        <v>14</v>
      </c>
      <c r="G230" s="1" t="s">
        <v>15</v>
      </c>
      <c r="H230" s="3">
        <v>0</v>
      </c>
      <c r="I230" s="24" t="str">
        <f t="shared" si="28"/>
        <v/>
      </c>
      <c r="J230" s="1" t="str">
        <f t="shared" si="29"/>
        <v>Absent</v>
      </c>
      <c r="K230" s="1" t="str">
        <f t="shared" si="30"/>
        <v>N/A</v>
      </c>
      <c r="L230" s="1" t="str">
        <f t="shared" si="31"/>
        <v>⚠ Mismatch</v>
      </c>
      <c r="M230" s="24" t="str">
        <f t="shared" si="32"/>
        <v>REVIEW</v>
      </c>
    </row>
    <row r="231" spans="1:13" ht="15" customHeight="1" x14ac:dyDescent="0.35">
      <c r="A231" s="1" t="s">
        <v>22</v>
      </c>
      <c r="B231" s="2" t="s">
        <v>23</v>
      </c>
      <c r="C231" s="1" t="s">
        <v>24</v>
      </c>
      <c r="D231" s="1" t="s">
        <v>49</v>
      </c>
      <c r="E231" s="24" t="s">
        <v>19</v>
      </c>
      <c r="F231" s="1" t="s">
        <v>43</v>
      </c>
      <c r="G231" s="1" t="s">
        <v>65</v>
      </c>
      <c r="H231" s="3">
        <f>IFERROR(MOD(TIMEVALUE(G231)-TIMEVALUE(F231),1)*24,0)</f>
        <v>9.5</v>
      </c>
      <c r="I231" s="24" t="str">
        <f t="shared" si="28"/>
        <v>On Time</v>
      </c>
      <c r="J231" s="1" t="str">
        <f t="shared" si="29"/>
        <v>Full Day</v>
      </c>
      <c r="K231" s="1" t="str">
        <f t="shared" si="30"/>
        <v>Full Day</v>
      </c>
      <c r="L231" s="1" t="str">
        <f t="shared" si="31"/>
        <v>✓ Match</v>
      </c>
      <c r="M231" s="24" t="str">
        <f t="shared" si="32"/>
        <v>CLEAN</v>
      </c>
    </row>
    <row r="232" spans="1:13" ht="15" customHeight="1" x14ac:dyDescent="0.35">
      <c r="A232" s="1" t="s">
        <v>61</v>
      </c>
      <c r="B232" s="2" t="s">
        <v>62</v>
      </c>
      <c r="C232" s="1" t="s">
        <v>11</v>
      </c>
      <c r="D232" s="1" t="s">
        <v>49</v>
      </c>
      <c r="E232" s="24" t="s">
        <v>37</v>
      </c>
      <c r="F232" s="1" t="s">
        <v>89</v>
      </c>
      <c r="G232" s="1" t="s">
        <v>155</v>
      </c>
      <c r="H232" s="3">
        <f>IFERROR(MOD(TIMEVALUE(G232)-TIMEVALUE(F232),1)*24,0)</f>
        <v>7.1666666666666661</v>
      </c>
      <c r="I232" s="24" t="str">
        <f t="shared" si="28"/>
        <v>Late</v>
      </c>
      <c r="J232" s="1" t="str">
        <f t="shared" si="29"/>
        <v>Half Day</v>
      </c>
      <c r="K232" s="1" t="str">
        <f t="shared" si="30"/>
        <v>Half Day</v>
      </c>
      <c r="L232" s="1" t="str">
        <f t="shared" si="31"/>
        <v>✓ Match</v>
      </c>
      <c r="M232" s="24" t="str">
        <f t="shared" si="32"/>
        <v>CLEAN</v>
      </c>
    </row>
    <row r="233" spans="1:13" ht="15" customHeight="1" x14ac:dyDescent="0.35">
      <c r="A233" s="1" t="s">
        <v>142</v>
      </c>
      <c r="B233" s="2" t="s">
        <v>143</v>
      </c>
      <c r="C233" s="1" t="s">
        <v>18</v>
      </c>
      <c r="D233" s="1" t="s">
        <v>49</v>
      </c>
      <c r="E233" s="24" t="s">
        <v>13</v>
      </c>
      <c r="F233" s="1" t="s">
        <v>14</v>
      </c>
      <c r="G233" s="1" t="s">
        <v>15</v>
      </c>
      <c r="H233" s="3">
        <v>0</v>
      </c>
      <c r="I233" s="24" t="str">
        <f t="shared" si="28"/>
        <v/>
      </c>
      <c r="J233" s="1" t="str">
        <f t="shared" si="29"/>
        <v>Absent</v>
      </c>
      <c r="K233" s="1" t="str">
        <f t="shared" si="30"/>
        <v>N/A</v>
      </c>
      <c r="L233" s="1" t="str">
        <f t="shared" si="31"/>
        <v>⚠ Mismatch</v>
      </c>
      <c r="M233" s="24" t="str">
        <f t="shared" si="32"/>
        <v>REVIEW</v>
      </c>
    </row>
    <row r="234" spans="1:13" ht="15" customHeight="1" x14ac:dyDescent="0.35">
      <c r="A234" s="1" t="s">
        <v>16</v>
      </c>
      <c r="B234" s="2" t="s">
        <v>17</v>
      </c>
      <c r="C234" s="1" t="s">
        <v>18</v>
      </c>
      <c r="D234" s="1" t="s">
        <v>49</v>
      </c>
      <c r="E234" s="24" t="s">
        <v>19</v>
      </c>
      <c r="F234" s="1" t="s">
        <v>84</v>
      </c>
      <c r="G234" s="1" t="s">
        <v>147</v>
      </c>
      <c r="H234" s="3">
        <f>IFERROR(MOD(TIMEVALUE(G234)-TIMEVALUE(F234),1)*24,0)</f>
        <v>8.0833333333333321</v>
      </c>
      <c r="I234" s="24" t="str">
        <f t="shared" si="28"/>
        <v>Late</v>
      </c>
      <c r="J234" s="1" t="str">
        <f t="shared" si="29"/>
        <v>Full Day</v>
      </c>
      <c r="K234" s="1" t="str">
        <f t="shared" si="30"/>
        <v>Full Day</v>
      </c>
      <c r="L234" s="1" t="str">
        <f t="shared" si="31"/>
        <v>✓ Match</v>
      </c>
      <c r="M234" s="24" t="str">
        <f t="shared" si="32"/>
        <v>CLEAN</v>
      </c>
    </row>
    <row r="235" spans="1:13" ht="15" customHeight="1" x14ac:dyDescent="0.35">
      <c r="A235" s="1" t="s">
        <v>91</v>
      </c>
      <c r="B235" s="2" t="s">
        <v>92</v>
      </c>
      <c r="C235" s="1" t="s">
        <v>18</v>
      </c>
      <c r="D235" s="1" t="s">
        <v>49</v>
      </c>
      <c r="E235" s="24" t="s">
        <v>19</v>
      </c>
      <c r="F235" s="1" t="s">
        <v>122</v>
      </c>
      <c r="G235" s="1" t="s">
        <v>27</v>
      </c>
      <c r="H235" s="3">
        <f>IFERROR(MOD(TIMEVALUE(G235)-TIMEVALUE(F235),1)*24,0)</f>
        <v>11.416666666666668</v>
      </c>
      <c r="I235" s="24" t="str">
        <f t="shared" si="28"/>
        <v>Late</v>
      </c>
      <c r="J235" s="1" t="str">
        <f t="shared" si="29"/>
        <v>Full Day</v>
      </c>
      <c r="K235" s="1" t="str">
        <f t="shared" si="30"/>
        <v>Full Day</v>
      </c>
      <c r="L235" s="1" t="str">
        <f t="shared" si="31"/>
        <v>✓ Match</v>
      </c>
      <c r="M235" s="24" t="str">
        <f t="shared" si="32"/>
        <v>CLEAN</v>
      </c>
    </row>
    <row r="236" spans="1:13" ht="15" customHeight="1" x14ac:dyDescent="0.35">
      <c r="A236" s="1" t="s">
        <v>40</v>
      </c>
      <c r="B236" s="2" t="s">
        <v>41</v>
      </c>
      <c r="C236" s="1" t="s">
        <v>24</v>
      </c>
      <c r="D236" s="1" t="s">
        <v>49</v>
      </c>
      <c r="E236" s="24" t="s">
        <v>19</v>
      </c>
      <c r="F236" s="1" t="s">
        <v>163</v>
      </c>
      <c r="G236" s="1" t="s">
        <v>156</v>
      </c>
      <c r="H236" s="3">
        <f>IFERROR(MOD(TIMEVALUE(G236)-TIMEVALUE(F236),1)*24,0)</f>
        <v>9.1666666666666643</v>
      </c>
      <c r="I236" s="24" t="str">
        <f t="shared" si="28"/>
        <v>On Time</v>
      </c>
      <c r="J236" s="1" t="str">
        <f t="shared" si="29"/>
        <v>Full Day</v>
      </c>
      <c r="K236" s="1" t="str">
        <f t="shared" si="30"/>
        <v>Full Day</v>
      </c>
      <c r="L236" s="1" t="str">
        <f t="shared" si="31"/>
        <v>✓ Match</v>
      </c>
      <c r="M236" s="24" t="str">
        <f t="shared" si="32"/>
        <v>CLEAN</v>
      </c>
    </row>
    <row r="237" spans="1:13" ht="15" customHeight="1" x14ac:dyDescent="0.35">
      <c r="A237" s="1" t="s">
        <v>134</v>
      </c>
      <c r="B237" s="2" t="s">
        <v>135</v>
      </c>
      <c r="C237" s="1" t="s">
        <v>68</v>
      </c>
      <c r="D237" s="1" t="s">
        <v>49</v>
      </c>
      <c r="E237" s="24" t="s">
        <v>13</v>
      </c>
      <c r="F237" s="1" t="s">
        <v>14</v>
      </c>
      <c r="G237" s="1" t="s">
        <v>15</v>
      </c>
      <c r="H237" s="3">
        <v>0</v>
      </c>
      <c r="I237" s="24" t="str">
        <f t="shared" si="28"/>
        <v/>
      </c>
      <c r="J237" s="1" t="str">
        <f t="shared" si="29"/>
        <v>Absent</v>
      </c>
      <c r="K237" s="1" t="str">
        <f t="shared" si="30"/>
        <v>N/A</v>
      </c>
      <c r="L237" s="1" t="str">
        <f t="shared" si="31"/>
        <v>⚠ Mismatch</v>
      </c>
      <c r="M237" s="24" t="str">
        <f t="shared" si="32"/>
        <v>REVIEW</v>
      </c>
    </row>
    <row r="238" spans="1:13" ht="15" customHeight="1" x14ac:dyDescent="0.35">
      <c r="A238" s="1" t="s">
        <v>101</v>
      </c>
      <c r="B238" s="2" t="s">
        <v>102</v>
      </c>
      <c r="C238" s="1" t="s">
        <v>30</v>
      </c>
      <c r="D238" s="1" t="s">
        <v>49</v>
      </c>
      <c r="E238" s="24" t="s">
        <v>19</v>
      </c>
      <c r="F238" s="1" t="s">
        <v>122</v>
      </c>
      <c r="G238" s="1" t="s">
        <v>60</v>
      </c>
      <c r="H238" s="3">
        <f>IFERROR(MOD(TIMEVALUE(G238)-TIMEVALUE(F238),1)*24,0)</f>
        <v>9.6666666666666661</v>
      </c>
      <c r="I238" s="24" t="str">
        <f t="shared" si="28"/>
        <v>Late</v>
      </c>
      <c r="J238" s="1" t="str">
        <f t="shared" si="29"/>
        <v>Full Day</v>
      </c>
      <c r="K238" s="1" t="str">
        <f t="shared" si="30"/>
        <v>Full Day</v>
      </c>
      <c r="L238" s="1" t="str">
        <f t="shared" si="31"/>
        <v>✓ Match</v>
      </c>
      <c r="M238" s="24" t="str">
        <f t="shared" si="32"/>
        <v>CLEAN</v>
      </c>
    </row>
    <row r="239" spans="1:13" ht="15" customHeight="1" x14ac:dyDescent="0.35">
      <c r="A239" s="1" t="s">
        <v>112</v>
      </c>
      <c r="B239" s="2" t="s">
        <v>113</v>
      </c>
      <c r="C239" s="1" t="s">
        <v>30</v>
      </c>
      <c r="D239" s="1" t="s">
        <v>49</v>
      </c>
      <c r="E239" s="24" t="s">
        <v>19</v>
      </c>
      <c r="F239" s="1" t="s">
        <v>26</v>
      </c>
      <c r="G239" s="1" t="s">
        <v>108</v>
      </c>
      <c r="H239" s="3">
        <f>IFERROR(MOD(TIMEVALUE(G239)-TIMEVALUE(F239),1)*24,0)</f>
        <v>10.416666666666666</v>
      </c>
      <c r="I239" s="24" t="str">
        <f t="shared" si="28"/>
        <v>Late</v>
      </c>
      <c r="J239" s="1" t="str">
        <f t="shared" si="29"/>
        <v>Full Day</v>
      </c>
      <c r="K239" s="1" t="str">
        <f t="shared" si="30"/>
        <v>Full Day</v>
      </c>
      <c r="L239" s="1" t="str">
        <f t="shared" si="31"/>
        <v>✓ Match</v>
      </c>
      <c r="M239" s="24" t="str">
        <f t="shared" si="32"/>
        <v>CLEAN</v>
      </c>
    </row>
    <row r="240" spans="1:13" ht="15" customHeight="1" x14ac:dyDescent="0.35">
      <c r="A240" s="1" t="s">
        <v>158</v>
      </c>
      <c r="B240" s="2" t="s">
        <v>159</v>
      </c>
      <c r="C240" s="1" t="s">
        <v>11</v>
      </c>
      <c r="D240" s="1" t="s">
        <v>49</v>
      </c>
      <c r="E240" s="24" t="s">
        <v>13</v>
      </c>
      <c r="F240" s="1" t="s">
        <v>14</v>
      </c>
      <c r="G240" s="1" t="s">
        <v>15</v>
      </c>
      <c r="H240" s="3">
        <v>0</v>
      </c>
      <c r="I240" s="24" t="str">
        <f t="shared" si="28"/>
        <v/>
      </c>
      <c r="J240" s="1" t="str">
        <f t="shared" si="29"/>
        <v>Absent</v>
      </c>
      <c r="K240" s="1" t="str">
        <f t="shared" si="30"/>
        <v>N/A</v>
      </c>
      <c r="L240" s="1" t="str">
        <f t="shared" si="31"/>
        <v>⚠ Mismatch</v>
      </c>
      <c r="M240" s="24" t="str">
        <f t="shared" si="32"/>
        <v>REVIEW</v>
      </c>
    </row>
    <row r="241" spans="1:13" ht="15" customHeight="1" x14ac:dyDescent="0.35">
      <c r="A241" s="1" t="s">
        <v>150</v>
      </c>
      <c r="B241" s="2" t="s">
        <v>151</v>
      </c>
      <c r="C241" s="1" t="s">
        <v>68</v>
      </c>
      <c r="D241" s="1" t="s">
        <v>49</v>
      </c>
      <c r="E241" s="24" t="s">
        <v>19</v>
      </c>
      <c r="F241" s="1" t="s">
        <v>129</v>
      </c>
      <c r="G241" s="1" t="s">
        <v>94</v>
      </c>
      <c r="H241" s="3">
        <f t="shared" ref="H241:H247" si="34">IFERROR(MOD(TIMEVALUE(G241)-TIMEVALUE(F241),1)*24,0)</f>
        <v>10.25</v>
      </c>
      <c r="I241" s="24" t="str">
        <f t="shared" si="28"/>
        <v>On Time</v>
      </c>
      <c r="J241" s="1" t="str">
        <f t="shared" si="29"/>
        <v>Full Day</v>
      </c>
      <c r="K241" s="1" t="str">
        <f t="shared" si="30"/>
        <v>Full Day</v>
      </c>
      <c r="L241" s="1" t="str">
        <f t="shared" si="31"/>
        <v>✓ Match</v>
      </c>
      <c r="M241" s="24" t="str">
        <f t="shared" si="32"/>
        <v>CLEAN</v>
      </c>
    </row>
    <row r="242" spans="1:13" ht="15" customHeight="1" x14ac:dyDescent="0.35">
      <c r="A242" s="1" t="s">
        <v>9</v>
      </c>
      <c r="B242" s="2" t="s">
        <v>10</v>
      </c>
      <c r="C242" s="1" t="s">
        <v>11</v>
      </c>
      <c r="D242" s="1" t="s">
        <v>49</v>
      </c>
      <c r="E242" s="24" t="s">
        <v>19</v>
      </c>
      <c r="F242" s="1" t="s">
        <v>64</v>
      </c>
      <c r="G242" s="1" t="s">
        <v>108</v>
      </c>
      <c r="H242" s="3">
        <f t="shared" si="34"/>
        <v>12.416666666666664</v>
      </c>
      <c r="I242" s="24" t="str">
        <f t="shared" si="28"/>
        <v>On Time</v>
      </c>
      <c r="J242" s="1" t="str">
        <f t="shared" si="29"/>
        <v>Full Day</v>
      </c>
      <c r="K242" s="1" t="str">
        <f t="shared" si="30"/>
        <v>Full Day</v>
      </c>
      <c r="L242" s="1" t="str">
        <f t="shared" si="31"/>
        <v>✓ Match</v>
      </c>
      <c r="M242" s="24" t="str">
        <f t="shared" si="32"/>
        <v>CLEAN</v>
      </c>
    </row>
    <row r="243" spans="1:13" ht="15" customHeight="1" x14ac:dyDescent="0.35">
      <c r="A243" s="1" t="s">
        <v>40</v>
      </c>
      <c r="B243" s="2" t="s">
        <v>41</v>
      </c>
      <c r="C243" s="1" t="s">
        <v>24</v>
      </c>
      <c r="D243" s="1" t="s">
        <v>42</v>
      </c>
      <c r="E243" s="24" t="s">
        <v>19</v>
      </c>
      <c r="F243" s="1" t="s">
        <v>43</v>
      </c>
      <c r="G243" s="1" t="s">
        <v>44</v>
      </c>
      <c r="H243" s="3">
        <f t="shared" si="34"/>
        <v>10</v>
      </c>
      <c r="I243" s="24" t="str">
        <f t="shared" si="28"/>
        <v>On Time</v>
      </c>
      <c r="J243" s="1" t="str">
        <f t="shared" si="29"/>
        <v>Full Day</v>
      </c>
      <c r="K243" s="1" t="str">
        <f t="shared" si="30"/>
        <v>Full Day</v>
      </c>
      <c r="L243" s="1" t="str">
        <f t="shared" si="31"/>
        <v>✓ Match</v>
      </c>
      <c r="M243" s="24" t="str">
        <f t="shared" si="32"/>
        <v>CLEAN</v>
      </c>
    </row>
    <row r="244" spans="1:13" ht="15" customHeight="1" x14ac:dyDescent="0.35">
      <c r="A244" s="1" t="s">
        <v>76</v>
      </c>
      <c r="B244" s="2" t="s">
        <v>77</v>
      </c>
      <c r="C244" s="1" t="s">
        <v>68</v>
      </c>
      <c r="D244" s="1" t="s">
        <v>42</v>
      </c>
      <c r="E244" s="24" t="s">
        <v>37</v>
      </c>
      <c r="F244" s="1" t="s">
        <v>56</v>
      </c>
      <c r="G244" s="1" t="s">
        <v>78</v>
      </c>
      <c r="H244" s="3">
        <f t="shared" si="34"/>
        <v>7.5000000000000018</v>
      </c>
      <c r="I244" s="24" t="str">
        <f t="shared" si="28"/>
        <v>Late</v>
      </c>
      <c r="J244" s="1" t="str">
        <f t="shared" si="29"/>
        <v>Half Day</v>
      </c>
      <c r="K244" s="1" t="str">
        <f t="shared" si="30"/>
        <v>Half Day</v>
      </c>
      <c r="L244" s="1" t="str">
        <f t="shared" si="31"/>
        <v>✓ Match</v>
      </c>
      <c r="M244" s="24" t="str">
        <f t="shared" si="32"/>
        <v>CLEAN</v>
      </c>
    </row>
    <row r="245" spans="1:13" ht="15" customHeight="1" x14ac:dyDescent="0.35">
      <c r="A245" s="1" t="s">
        <v>120</v>
      </c>
      <c r="B245" s="2" t="s">
        <v>121</v>
      </c>
      <c r="C245" s="1" t="s">
        <v>11</v>
      </c>
      <c r="D245" s="1" t="s">
        <v>42</v>
      </c>
      <c r="E245" s="24" t="s">
        <v>19</v>
      </c>
      <c r="F245" s="1" t="s">
        <v>122</v>
      </c>
      <c r="G245" s="1" t="s">
        <v>123</v>
      </c>
      <c r="H245" s="3">
        <f t="shared" si="34"/>
        <v>10.833333333333334</v>
      </c>
      <c r="I245" s="24" t="str">
        <f t="shared" si="28"/>
        <v>Late</v>
      </c>
      <c r="J245" s="1" t="str">
        <f t="shared" si="29"/>
        <v>Full Day</v>
      </c>
      <c r="K245" s="1" t="str">
        <f t="shared" si="30"/>
        <v>Full Day</v>
      </c>
      <c r="L245" s="1" t="str">
        <f t="shared" si="31"/>
        <v>✓ Match</v>
      </c>
      <c r="M245" s="24" t="str">
        <f t="shared" si="32"/>
        <v>CLEAN</v>
      </c>
    </row>
    <row r="246" spans="1:13" ht="15" customHeight="1" x14ac:dyDescent="0.35">
      <c r="A246" s="1" t="s">
        <v>101</v>
      </c>
      <c r="B246" s="2" t="s">
        <v>102</v>
      </c>
      <c r="C246" s="1" t="s">
        <v>30</v>
      </c>
      <c r="D246" s="1" t="s">
        <v>42</v>
      </c>
      <c r="E246" s="24" t="s">
        <v>19</v>
      </c>
      <c r="F246" s="1" t="s">
        <v>32</v>
      </c>
      <c r="G246" s="1" t="s">
        <v>147</v>
      </c>
      <c r="H246" s="3">
        <f t="shared" si="34"/>
        <v>9.1666666666666679</v>
      </c>
      <c r="I246" s="24" t="str">
        <f t="shared" si="28"/>
        <v>On Time</v>
      </c>
      <c r="J246" s="1" t="str">
        <f t="shared" si="29"/>
        <v>Full Day</v>
      </c>
      <c r="K246" s="1" t="str">
        <f t="shared" si="30"/>
        <v>Full Day</v>
      </c>
      <c r="L246" s="1" t="str">
        <f t="shared" si="31"/>
        <v>✓ Match</v>
      </c>
      <c r="M246" s="24" t="str">
        <f t="shared" si="32"/>
        <v>CLEAN</v>
      </c>
    </row>
    <row r="247" spans="1:13" ht="15" customHeight="1" x14ac:dyDescent="0.35">
      <c r="A247" s="1" t="s">
        <v>134</v>
      </c>
      <c r="B247" s="2" t="s">
        <v>135</v>
      </c>
      <c r="C247" s="1" t="s">
        <v>68</v>
      </c>
      <c r="D247" s="1" t="s">
        <v>42</v>
      </c>
      <c r="E247" s="24" t="s">
        <v>19</v>
      </c>
      <c r="F247" s="1" t="s">
        <v>43</v>
      </c>
      <c r="G247" s="1" t="s">
        <v>97</v>
      </c>
      <c r="H247" s="3">
        <f t="shared" si="34"/>
        <v>11.75</v>
      </c>
      <c r="I247" s="24" t="str">
        <f t="shared" si="28"/>
        <v>On Time</v>
      </c>
      <c r="J247" s="1" t="str">
        <f t="shared" si="29"/>
        <v>Full Day</v>
      </c>
      <c r="K247" s="1" t="str">
        <f t="shared" si="30"/>
        <v>Full Day</v>
      </c>
      <c r="L247" s="1" t="str">
        <f t="shared" si="31"/>
        <v>✓ Match</v>
      </c>
      <c r="M247" s="24" t="str">
        <f t="shared" si="32"/>
        <v>CLEAN</v>
      </c>
    </row>
    <row r="248" spans="1:13" ht="15" customHeight="1" x14ac:dyDescent="0.35">
      <c r="A248" s="1" t="s">
        <v>130</v>
      </c>
      <c r="B248" s="2" t="s">
        <v>131</v>
      </c>
      <c r="C248" s="1" t="s">
        <v>11</v>
      </c>
      <c r="D248" s="1" t="s">
        <v>42</v>
      </c>
      <c r="E248" s="24" t="s">
        <v>13</v>
      </c>
      <c r="F248" s="1" t="s">
        <v>14</v>
      </c>
      <c r="G248" s="1" t="s">
        <v>15</v>
      </c>
      <c r="H248" s="3">
        <v>0</v>
      </c>
      <c r="I248" s="24" t="str">
        <f t="shared" si="28"/>
        <v/>
      </c>
      <c r="J248" s="1" t="str">
        <f t="shared" si="29"/>
        <v>Absent</v>
      </c>
      <c r="K248" s="1" t="str">
        <f t="shared" si="30"/>
        <v>N/A</v>
      </c>
      <c r="L248" s="1" t="str">
        <f t="shared" si="31"/>
        <v>⚠ Mismatch</v>
      </c>
      <c r="M248" s="24" t="str">
        <f t="shared" si="32"/>
        <v>REVIEW</v>
      </c>
    </row>
    <row r="249" spans="1:13" ht="15" customHeight="1" x14ac:dyDescent="0.35">
      <c r="A249" s="1" t="s">
        <v>53</v>
      </c>
      <c r="B249" s="2" t="s">
        <v>54</v>
      </c>
      <c r="C249" s="1" t="s">
        <v>18</v>
      </c>
      <c r="D249" s="1" t="s">
        <v>42</v>
      </c>
      <c r="E249" s="24" t="s">
        <v>19</v>
      </c>
      <c r="F249" s="1" t="s">
        <v>140</v>
      </c>
      <c r="G249" s="1" t="s">
        <v>141</v>
      </c>
      <c r="H249" s="3">
        <f>IFERROR(MOD(TIMEVALUE(G249)-TIMEVALUE(F249),1)*24,0)</f>
        <v>9.5833333333333321</v>
      </c>
      <c r="I249" s="24" t="str">
        <f t="shared" si="28"/>
        <v>Late</v>
      </c>
      <c r="J249" s="1" t="str">
        <f t="shared" si="29"/>
        <v>Full Day</v>
      </c>
      <c r="K249" s="1" t="str">
        <f t="shared" si="30"/>
        <v>Full Day</v>
      </c>
      <c r="L249" s="1" t="str">
        <f t="shared" si="31"/>
        <v>✓ Match</v>
      </c>
      <c r="M249" s="24" t="str">
        <f t="shared" si="32"/>
        <v>CLEAN</v>
      </c>
    </row>
    <row r="250" spans="1:13" ht="15" customHeight="1" x14ac:dyDescent="0.35">
      <c r="A250" s="1" t="s">
        <v>66</v>
      </c>
      <c r="B250" s="2" t="s">
        <v>67</v>
      </c>
      <c r="C250" s="1" t="s">
        <v>68</v>
      </c>
      <c r="D250" s="1" t="s">
        <v>42</v>
      </c>
      <c r="E250" s="24" t="s">
        <v>13</v>
      </c>
      <c r="F250" s="1" t="s">
        <v>14</v>
      </c>
      <c r="G250" s="1" t="s">
        <v>15</v>
      </c>
      <c r="H250" s="3">
        <v>0</v>
      </c>
      <c r="I250" s="24" t="str">
        <f t="shared" si="28"/>
        <v/>
      </c>
      <c r="J250" s="1" t="str">
        <f t="shared" si="29"/>
        <v>Absent</v>
      </c>
      <c r="K250" s="1" t="str">
        <f t="shared" si="30"/>
        <v>N/A</v>
      </c>
      <c r="L250" s="1" t="str">
        <f t="shared" si="31"/>
        <v>⚠ Mismatch</v>
      </c>
      <c r="M250" s="24" t="str">
        <f t="shared" si="32"/>
        <v>REVIEW</v>
      </c>
    </row>
    <row r="251" spans="1:13" ht="15" customHeight="1" x14ac:dyDescent="0.35">
      <c r="A251" s="1" t="s">
        <v>158</v>
      </c>
      <c r="B251" s="2" t="s">
        <v>159</v>
      </c>
      <c r="C251" s="1" t="s">
        <v>11</v>
      </c>
      <c r="D251" s="1" t="s">
        <v>42</v>
      </c>
      <c r="E251" s="24" t="s">
        <v>13</v>
      </c>
      <c r="F251" s="1" t="s">
        <v>14</v>
      </c>
      <c r="G251" s="1" t="s">
        <v>15</v>
      </c>
      <c r="H251" s="3">
        <v>0</v>
      </c>
      <c r="I251" s="24" t="str">
        <f t="shared" si="28"/>
        <v/>
      </c>
      <c r="J251" s="1" t="str">
        <f t="shared" si="29"/>
        <v>Absent</v>
      </c>
      <c r="K251" s="1" t="str">
        <f t="shared" si="30"/>
        <v>N/A</v>
      </c>
      <c r="L251" s="1" t="str">
        <f t="shared" si="31"/>
        <v>⚠ Mismatch</v>
      </c>
      <c r="M251" s="24" t="str">
        <f t="shared" si="32"/>
        <v>REVIEW</v>
      </c>
    </row>
    <row r="252" spans="1:13" ht="15" customHeight="1" x14ac:dyDescent="0.35">
      <c r="A252" s="1" t="s">
        <v>16</v>
      </c>
      <c r="B252" s="2" t="s">
        <v>17</v>
      </c>
      <c r="C252" s="1" t="s">
        <v>18</v>
      </c>
      <c r="D252" s="1" t="s">
        <v>42</v>
      </c>
      <c r="E252" s="24" t="s">
        <v>19</v>
      </c>
      <c r="F252" s="1" t="s">
        <v>137</v>
      </c>
      <c r="G252" s="1" t="s">
        <v>71</v>
      </c>
      <c r="H252" s="3">
        <f>IFERROR(MOD(TIMEVALUE(G252)-TIMEVALUE(F252),1)*24,0)</f>
        <v>10.666666666666664</v>
      </c>
      <c r="I252" s="24" t="str">
        <f t="shared" si="28"/>
        <v>Late</v>
      </c>
      <c r="J252" s="1" t="str">
        <f t="shared" si="29"/>
        <v>Full Day</v>
      </c>
      <c r="K252" s="1" t="str">
        <f t="shared" si="30"/>
        <v>Full Day</v>
      </c>
      <c r="L252" s="1" t="str">
        <f t="shared" si="31"/>
        <v>✓ Match</v>
      </c>
      <c r="M252" s="24" t="str">
        <f t="shared" si="32"/>
        <v>CLEAN</v>
      </c>
    </row>
    <row r="253" spans="1:13" ht="15" customHeight="1" x14ac:dyDescent="0.35">
      <c r="A253" s="1" t="s">
        <v>28</v>
      </c>
      <c r="B253" s="2" t="s">
        <v>29</v>
      </c>
      <c r="C253" s="1" t="s">
        <v>30</v>
      </c>
      <c r="D253" s="1" t="s">
        <v>42</v>
      </c>
      <c r="E253" s="24" t="s">
        <v>37</v>
      </c>
      <c r="F253" s="1" t="s">
        <v>163</v>
      </c>
      <c r="G253" s="1" t="s">
        <v>50</v>
      </c>
      <c r="H253" s="3">
        <f>IFERROR(MOD(TIMEVALUE(G253)-TIMEVALUE(F253),1)*24,0)</f>
        <v>8.6666666666666661</v>
      </c>
      <c r="I253" s="24" t="str">
        <f t="shared" si="28"/>
        <v>On Time</v>
      </c>
      <c r="J253" s="1" t="str">
        <f t="shared" si="29"/>
        <v>Full Day</v>
      </c>
      <c r="K253" s="1" t="str">
        <f t="shared" si="30"/>
        <v>Full Day</v>
      </c>
      <c r="L253" s="1" t="str">
        <f t="shared" si="31"/>
        <v>✓ Match</v>
      </c>
      <c r="M253" s="24" t="str">
        <f t="shared" si="32"/>
        <v>CLEAN</v>
      </c>
    </row>
    <row r="254" spans="1:13" ht="15" customHeight="1" x14ac:dyDescent="0.35">
      <c r="A254" s="1" t="s">
        <v>150</v>
      </c>
      <c r="B254" s="2" t="s">
        <v>151</v>
      </c>
      <c r="C254" s="1" t="s">
        <v>68</v>
      </c>
      <c r="D254" s="1" t="s">
        <v>42</v>
      </c>
      <c r="E254" s="24" t="s">
        <v>19</v>
      </c>
      <c r="F254" s="1" t="s">
        <v>26</v>
      </c>
      <c r="G254" s="1" t="s">
        <v>147</v>
      </c>
      <c r="H254" s="3">
        <f>IFERROR(MOD(TIMEVALUE(G254)-TIMEVALUE(F254),1)*24,0)</f>
        <v>7.25</v>
      </c>
      <c r="I254" s="24" t="str">
        <f t="shared" si="28"/>
        <v>Late</v>
      </c>
      <c r="J254" s="1" t="str">
        <f t="shared" si="29"/>
        <v>Half Day</v>
      </c>
      <c r="K254" s="1" t="str">
        <f t="shared" si="30"/>
        <v>Half Day</v>
      </c>
      <c r="L254" s="1" t="str">
        <f t="shared" si="31"/>
        <v>✓ Match</v>
      </c>
      <c r="M254" s="24" t="str">
        <f t="shared" si="32"/>
        <v>CLEAN</v>
      </c>
    </row>
    <row r="255" spans="1:13" ht="15" customHeight="1" x14ac:dyDescent="0.35">
      <c r="A255" s="1" t="s">
        <v>95</v>
      </c>
      <c r="B255" s="2" t="s">
        <v>96</v>
      </c>
      <c r="C255" s="1" t="s">
        <v>68</v>
      </c>
      <c r="D255" s="1" t="s">
        <v>42</v>
      </c>
      <c r="E255" s="24" t="s">
        <v>19</v>
      </c>
      <c r="F255" s="1" t="s">
        <v>56</v>
      </c>
      <c r="G255" s="1" t="s">
        <v>21</v>
      </c>
      <c r="H255" s="3">
        <f>IFERROR(MOD(TIMEVALUE(G255)-TIMEVALUE(F255),1)*24,0)</f>
        <v>9.25</v>
      </c>
      <c r="I255" s="24" t="str">
        <f t="shared" si="28"/>
        <v>Late</v>
      </c>
      <c r="J255" s="1" t="str">
        <f t="shared" si="29"/>
        <v>Full Day</v>
      </c>
      <c r="K255" s="1" t="str">
        <f t="shared" si="30"/>
        <v>Full Day</v>
      </c>
      <c r="L255" s="1" t="str">
        <f t="shared" si="31"/>
        <v>✓ Match</v>
      </c>
      <c r="M255" s="24" t="str">
        <f t="shared" si="32"/>
        <v>CLEAN</v>
      </c>
    </row>
    <row r="256" spans="1:13" ht="15" customHeight="1" x14ac:dyDescent="0.35">
      <c r="A256" s="1" t="s">
        <v>110</v>
      </c>
      <c r="B256" s="2" t="s">
        <v>111</v>
      </c>
      <c r="C256" s="1" t="s">
        <v>68</v>
      </c>
      <c r="D256" s="1" t="s">
        <v>42</v>
      </c>
      <c r="E256" s="24" t="s">
        <v>13</v>
      </c>
      <c r="F256" s="1" t="s">
        <v>14</v>
      </c>
      <c r="G256" s="1" t="s">
        <v>15</v>
      </c>
      <c r="H256" s="3">
        <v>0</v>
      </c>
      <c r="I256" s="24" t="str">
        <f t="shared" si="28"/>
        <v/>
      </c>
      <c r="J256" s="1" t="str">
        <f t="shared" si="29"/>
        <v>Absent</v>
      </c>
      <c r="K256" s="1" t="str">
        <f t="shared" si="30"/>
        <v>N/A</v>
      </c>
      <c r="L256" s="1" t="str">
        <f t="shared" si="31"/>
        <v>⚠ Mismatch</v>
      </c>
      <c r="M256" s="24" t="str">
        <f t="shared" si="32"/>
        <v>REVIEW</v>
      </c>
    </row>
    <row r="257" spans="1:13" ht="15" customHeight="1" x14ac:dyDescent="0.35">
      <c r="A257" s="1" t="s">
        <v>47</v>
      </c>
      <c r="B257" s="2" t="s">
        <v>48</v>
      </c>
      <c r="C257" s="1" t="s">
        <v>18</v>
      </c>
      <c r="D257" s="1" t="s">
        <v>42</v>
      </c>
      <c r="E257" s="24" t="s">
        <v>13</v>
      </c>
      <c r="F257" s="1" t="s">
        <v>14</v>
      </c>
      <c r="G257" s="1" t="s">
        <v>15</v>
      </c>
      <c r="H257" s="3">
        <v>0</v>
      </c>
      <c r="I257" s="24" t="str">
        <f t="shared" si="28"/>
        <v/>
      </c>
      <c r="J257" s="1" t="str">
        <f t="shared" si="29"/>
        <v>Absent</v>
      </c>
      <c r="K257" s="1" t="str">
        <f t="shared" si="30"/>
        <v>N/A</v>
      </c>
      <c r="L257" s="1" t="str">
        <f t="shared" si="31"/>
        <v>⚠ Mismatch</v>
      </c>
      <c r="M257" s="24" t="str">
        <f t="shared" si="32"/>
        <v>REVIEW</v>
      </c>
    </row>
    <row r="258" spans="1:13" ht="15" customHeight="1" x14ac:dyDescent="0.35">
      <c r="A258" s="1" t="s">
        <v>105</v>
      </c>
      <c r="B258" s="2" t="s">
        <v>106</v>
      </c>
      <c r="C258" s="1" t="s">
        <v>11</v>
      </c>
      <c r="D258" s="1" t="s">
        <v>42</v>
      </c>
      <c r="E258" s="24" t="s">
        <v>19</v>
      </c>
      <c r="F258" s="1" t="s">
        <v>32</v>
      </c>
      <c r="G258" s="1" t="s">
        <v>119</v>
      </c>
      <c r="H258" s="3">
        <f>IFERROR(MOD(TIMEVALUE(G258)-TIMEVALUE(F258),1)*24,0)</f>
        <v>6.8333333333333339</v>
      </c>
      <c r="I258" s="24" t="str">
        <f t="shared" si="28"/>
        <v>On Time</v>
      </c>
      <c r="J258" s="1" t="str">
        <f t="shared" si="29"/>
        <v>Half Day</v>
      </c>
      <c r="K258" s="1" t="str">
        <f t="shared" si="30"/>
        <v>Half Day</v>
      </c>
      <c r="L258" s="1" t="str">
        <f t="shared" si="31"/>
        <v>✓ Match</v>
      </c>
      <c r="M258" s="24" t="str">
        <f t="shared" si="32"/>
        <v>CLEAN</v>
      </c>
    </row>
    <row r="259" spans="1:13" ht="15" customHeight="1" x14ac:dyDescent="0.35">
      <c r="A259" s="1" t="s">
        <v>61</v>
      </c>
      <c r="B259" s="2" t="s">
        <v>62</v>
      </c>
      <c r="C259" s="1" t="s">
        <v>11</v>
      </c>
      <c r="D259" s="1" t="s">
        <v>42</v>
      </c>
      <c r="E259" s="24" t="s">
        <v>19</v>
      </c>
      <c r="F259" s="1" t="s">
        <v>43</v>
      </c>
      <c r="G259" s="1" t="s">
        <v>156</v>
      </c>
      <c r="H259" s="3">
        <f>IFERROR(MOD(TIMEVALUE(G259)-TIMEVALUE(F259),1)*24,0)</f>
        <v>8.9999999999999982</v>
      </c>
      <c r="I259" s="24" t="str">
        <f t="shared" ref="I259:I322" si="35">IF(F259="No Login","",IF(TIMEVALUE(F259)&gt;TIMEVALUE("09:00"),"Late","On Time"))</f>
        <v>On Time</v>
      </c>
      <c r="J259" s="1" t="str">
        <f t="shared" ref="J259:J322" si="36">IF(E259="Absent","Absent",IF(H259&gt;=8,"Full Day",IF(H259&gt;=4,"Half Day","Short")))</f>
        <v>Full Day</v>
      </c>
      <c r="K259" s="1" t="str">
        <f t="shared" ref="K259:K322" si="37">IF(E259="Absent","N/A",IF(H259&gt;=8,"Full Day",IF(H259&gt;=4,"Half Day","Short")))</f>
        <v>Full Day</v>
      </c>
      <c r="L259" s="1" t="str">
        <f t="shared" ref="L259:L322" si="38">IF(J259=K259,"✓ Match","⚠ Mismatch")</f>
        <v>✓ Match</v>
      </c>
      <c r="M259" s="24" t="str">
        <f t="shared" ref="M259:M322" si="39">IF(AND(J259=K259,OR(E259="Present",E259="Work From Home",E259="Absent")),"CLEAN","REVIEW")</f>
        <v>CLEAN</v>
      </c>
    </row>
    <row r="260" spans="1:13" ht="15" customHeight="1" x14ac:dyDescent="0.35">
      <c r="A260" s="1" t="s">
        <v>124</v>
      </c>
      <c r="B260" s="2" t="s">
        <v>125</v>
      </c>
      <c r="C260" s="1" t="s">
        <v>68</v>
      </c>
      <c r="D260" s="1" t="s">
        <v>42</v>
      </c>
      <c r="E260" s="24" t="s">
        <v>19</v>
      </c>
      <c r="F260" s="1" t="s">
        <v>140</v>
      </c>
      <c r="G260" s="1" t="s">
        <v>147</v>
      </c>
      <c r="H260" s="3">
        <f>IFERROR(MOD(TIMEVALUE(G260)-TIMEVALUE(F260),1)*24,0)</f>
        <v>7.583333333333333</v>
      </c>
      <c r="I260" s="24" t="str">
        <f t="shared" si="35"/>
        <v>Late</v>
      </c>
      <c r="J260" s="1" t="str">
        <f t="shared" si="36"/>
        <v>Half Day</v>
      </c>
      <c r="K260" s="1" t="str">
        <f t="shared" si="37"/>
        <v>Half Day</v>
      </c>
      <c r="L260" s="1" t="str">
        <f t="shared" si="38"/>
        <v>✓ Match</v>
      </c>
      <c r="M260" s="24" t="str">
        <f t="shared" si="39"/>
        <v>CLEAN</v>
      </c>
    </row>
    <row r="261" spans="1:13" ht="15" customHeight="1" x14ac:dyDescent="0.35">
      <c r="A261" s="1" t="s">
        <v>72</v>
      </c>
      <c r="B261" s="2" t="s">
        <v>73</v>
      </c>
      <c r="C261" s="1" t="s">
        <v>68</v>
      </c>
      <c r="D261" s="1" t="s">
        <v>42</v>
      </c>
      <c r="E261" s="24" t="s">
        <v>19</v>
      </c>
      <c r="F261" s="1" t="s">
        <v>84</v>
      </c>
      <c r="G261" s="1" t="s">
        <v>148</v>
      </c>
      <c r="H261" s="3">
        <f>IFERROR(MOD(TIMEVALUE(G261)-TIMEVALUE(F261),1)*24,0)</f>
        <v>7.4999999999999982</v>
      </c>
      <c r="I261" s="24" t="str">
        <f t="shared" si="35"/>
        <v>Late</v>
      </c>
      <c r="J261" s="1" t="str">
        <f t="shared" si="36"/>
        <v>Half Day</v>
      </c>
      <c r="K261" s="1" t="str">
        <f t="shared" si="37"/>
        <v>Half Day</v>
      </c>
      <c r="L261" s="1" t="str">
        <f t="shared" si="38"/>
        <v>✓ Match</v>
      </c>
      <c r="M261" s="24" t="str">
        <f t="shared" si="39"/>
        <v>CLEAN</v>
      </c>
    </row>
    <row r="262" spans="1:13" ht="15" customHeight="1" x14ac:dyDescent="0.35">
      <c r="A262" s="1" t="s">
        <v>9</v>
      </c>
      <c r="B262" s="2" t="s">
        <v>10</v>
      </c>
      <c r="C262" s="1" t="s">
        <v>11</v>
      </c>
      <c r="D262" s="1" t="s">
        <v>42</v>
      </c>
      <c r="E262" s="24" t="s">
        <v>37</v>
      </c>
      <c r="F262" s="1" t="s">
        <v>152</v>
      </c>
      <c r="G262" s="1" t="s">
        <v>127</v>
      </c>
      <c r="H262" s="3">
        <f>IFERROR(MOD(TIMEVALUE(G262)-TIMEVALUE(F262),1)*24,0)</f>
        <v>7.8333333333333321</v>
      </c>
      <c r="I262" s="24" t="str">
        <f t="shared" si="35"/>
        <v>Late</v>
      </c>
      <c r="J262" s="1" t="str">
        <f t="shared" si="36"/>
        <v>Half Day</v>
      </c>
      <c r="K262" s="1" t="str">
        <f t="shared" si="37"/>
        <v>Half Day</v>
      </c>
      <c r="L262" s="1" t="str">
        <f t="shared" si="38"/>
        <v>✓ Match</v>
      </c>
      <c r="M262" s="24" t="str">
        <f t="shared" si="39"/>
        <v>CLEAN</v>
      </c>
    </row>
    <row r="263" spans="1:13" ht="15" customHeight="1" x14ac:dyDescent="0.35">
      <c r="A263" s="1" t="s">
        <v>22</v>
      </c>
      <c r="B263" s="2" t="s">
        <v>23</v>
      </c>
      <c r="C263" s="1" t="s">
        <v>24</v>
      </c>
      <c r="D263" s="1" t="s">
        <v>42</v>
      </c>
      <c r="E263" s="24" t="s">
        <v>13</v>
      </c>
      <c r="F263" s="1" t="s">
        <v>14</v>
      </c>
      <c r="G263" s="1" t="s">
        <v>15</v>
      </c>
      <c r="H263" s="3">
        <v>0</v>
      </c>
      <c r="I263" s="24" t="str">
        <f t="shared" si="35"/>
        <v/>
      </c>
      <c r="J263" s="1" t="str">
        <f t="shared" si="36"/>
        <v>Absent</v>
      </c>
      <c r="K263" s="1" t="str">
        <f t="shared" si="37"/>
        <v>N/A</v>
      </c>
      <c r="L263" s="1" t="str">
        <f t="shared" si="38"/>
        <v>⚠ Mismatch</v>
      </c>
      <c r="M263" s="24" t="str">
        <f t="shared" si="39"/>
        <v>REVIEW</v>
      </c>
    </row>
    <row r="264" spans="1:13" ht="15" customHeight="1" x14ac:dyDescent="0.35">
      <c r="A264" s="1" t="s">
        <v>142</v>
      </c>
      <c r="B264" s="2" t="s">
        <v>143</v>
      </c>
      <c r="C264" s="1" t="s">
        <v>18</v>
      </c>
      <c r="D264" s="1" t="s">
        <v>42</v>
      </c>
      <c r="E264" s="24" t="s">
        <v>19</v>
      </c>
      <c r="F264" s="1" t="s">
        <v>75</v>
      </c>
      <c r="G264" s="1" t="s">
        <v>156</v>
      </c>
      <c r="H264" s="3">
        <f>IFERROR(MOD(TIMEVALUE(G264)-TIMEVALUE(F264),1)*24,0)</f>
        <v>9.25</v>
      </c>
      <c r="I264" s="24" t="str">
        <f t="shared" si="35"/>
        <v>On Time</v>
      </c>
      <c r="J264" s="1" t="str">
        <f t="shared" si="36"/>
        <v>Full Day</v>
      </c>
      <c r="K264" s="1" t="str">
        <f t="shared" si="37"/>
        <v>Full Day</v>
      </c>
      <c r="L264" s="1" t="str">
        <f t="shared" si="38"/>
        <v>✓ Match</v>
      </c>
      <c r="M264" s="24" t="str">
        <f t="shared" si="39"/>
        <v>CLEAN</v>
      </c>
    </row>
    <row r="265" spans="1:13" ht="15" customHeight="1" x14ac:dyDescent="0.35">
      <c r="A265" s="1" t="s">
        <v>45</v>
      </c>
      <c r="B265" s="2" t="s">
        <v>46</v>
      </c>
      <c r="C265" s="1" t="s">
        <v>18</v>
      </c>
      <c r="D265" s="1" t="s">
        <v>42</v>
      </c>
      <c r="E265" s="24" t="s">
        <v>19</v>
      </c>
      <c r="F265" s="1" t="s">
        <v>20</v>
      </c>
      <c r="G265" s="1" t="s">
        <v>44</v>
      </c>
      <c r="H265" s="3">
        <f>IFERROR(MOD(TIMEVALUE(G265)-TIMEVALUE(F265),1)*24,0)</f>
        <v>9.7500000000000018</v>
      </c>
      <c r="I265" s="24" t="str">
        <f t="shared" si="35"/>
        <v>On Time</v>
      </c>
      <c r="J265" s="1" t="str">
        <f t="shared" si="36"/>
        <v>Full Day</v>
      </c>
      <c r="K265" s="1" t="str">
        <f t="shared" si="37"/>
        <v>Full Day</v>
      </c>
      <c r="L265" s="1" t="str">
        <f t="shared" si="38"/>
        <v>✓ Match</v>
      </c>
      <c r="M265" s="24" t="str">
        <f t="shared" si="39"/>
        <v>CLEAN</v>
      </c>
    </row>
    <row r="266" spans="1:13" ht="15" customHeight="1" x14ac:dyDescent="0.35">
      <c r="A266" s="1" t="s">
        <v>112</v>
      </c>
      <c r="B266" s="2" t="s">
        <v>113</v>
      </c>
      <c r="C266" s="1" t="s">
        <v>30</v>
      </c>
      <c r="D266" s="1" t="s">
        <v>42</v>
      </c>
      <c r="E266" s="24" t="s">
        <v>13</v>
      </c>
      <c r="F266" s="1" t="s">
        <v>14</v>
      </c>
      <c r="G266" s="1" t="s">
        <v>15</v>
      </c>
      <c r="H266" s="3">
        <v>0</v>
      </c>
      <c r="I266" s="24" t="str">
        <f t="shared" si="35"/>
        <v/>
      </c>
      <c r="J266" s="1" t="str">
        <f t="shared" si="36"/>
        <v>Absent</v>
      </c>
      <c r="K266" s="1" t="str">
        <f t="shared" si="37"/>
        <v>N/A</v>
      </c>
      <c r="L266" s="1" t="str">
        <f t="shared" si="38"/>
        <v>⚠ Mismatch</v>
      </c>
      <c r="M266" s="24" t="str">
        <f t="shared" si="39"/>
        <v>REVIEW</v>
      </c>
    </row>
    <row r="267" spans="1:13" ht="15" customHeight="1" x14ac:dyDescent="0.35">
      <c r="A267" s="1" t="s">
        <v>98</v>
      </c>
      <c r="B267" s="2" t="s">
        <v>99</v>
      </c>
      <c r="C267" s="1" t="s">
        <v>18</v>
      </c>
      <c r="D267" s="1" t="s">
        <v>42</v>
      </c>
      <c r="E267" s="24" t="s">
        <v>19</v>
      </c>
      <c r="F267" s="1" t="s">
        <v>163</v>
      </c>
      <c r="G267" s="1" t="s">
        <v>141</v>
      </c>
      <c r="H267" s="3">
        <f>IFERROR(MOD(TIMEVALUE(G267)-TIMEVALUE(F267),1)*24,0)</f>
        <v>10.999999999999996</v>
      </c>
      <c r="I267" s="24" t="str">
        <f t="shared" si="35"/>
        <v>On Time</v>
      </c>
      <c r="J267" s="1" t="str">
        <f t="shared" si="36"/>
        <v>Full Day</v>
      </c>
      <c r="K267" s="1" t="str">
        <f t="shared" si="37"/>
        <v>Full Day</v>
      </c>
      <c r="L267" s="1" t="str">
        <f t="shared" si="38"/>
        <v>✓ Match</v>
      </c>
      <c r="M267" s="24" t="str">
        <f t="shared" si="39"/>
        <v>CLEAN</v>
      </c>
    </row>
    <row r="268" spans="1:13" ht="15" customHeight="1" x14ac:dyDescent="0.35">
      <c r="A268" s="1" t="s">
        <v>91</v>
      </c>
      <c r="B268" s="2" t="s">
        <v>92</v>
      </c>
      <c r="C268" s="1" t="s">
        <v>18</v>
      </c>
      <c r="D268" s="1" t="s">
        <v>42</v>
      </c>
      <c r="E268" s="24" t="s">
        <v>19</v>
      </c>
      <c r="F268" s="1" t="s">
        <v>100</v>
      </c>
      <c r="G268" s="1" t="s">
        <v>107</v>
      </c>
      <c r="H268" s="3">
        <f>IFERROR(MOD(TIMEVALUE(G268)-TIMEVALUE(F268),1)*24,0)</f>
        <v>10.25</v>
      </c>
      <c r="I268" s="24" t="str">
        <f t="shared" si="35"/>
        <v>On Time</v>
      </c>
      <c r="J268" s="1" t="str">
        <f t="shared" si="36"/>
        <v>Full Day</v>
      </c>
      <c r="K268" s="1" t="str">
        <f t="shared" si="37"/>
        <v>Full Day</v>
      </c>
      <c r="L268" s="1" t="str">
        <f t="shared" si="38"/>
        <v>✓ Match</v>
      </c>
      <c r="M268" s="24" t="str">
        <f t="shared" si="39"/>
        <v>CLEAN</v>
      </c>
    </row>
    <row r="269" spans="1:13" ht="15" customHeight="1" x14ac:dyDescent="0.35">
      <c r="A269" s="1" t="s">
        <v>57</v>
      </c>
      <c r="B269" s="2" t="s">
        <v>58</v>
      </c>
      <c r="C269" s="1" t="s">
        <v>30</v>
      </c>
      <c r="D269" s="1" t="s">
        <v>42</v>
      </c>
      <c r="E269" s="24" t="s">
        <v>19</v>
      </c>
      <c r="F269" s="1" t="s">
        <v>20</v>
      </c>
      <c r="G269" s="1" t="s">
        <v>65</v>
      </c>
      <c r="H269" s="3">
        <f>IFERROR(MOD(TIMEVALUE(G269)-TIMEVALUE(F269),1)*24,0)</f>
        <v>9.25</v>
      </c>
      <c r="I269" s="24" t="str">
        <f t="shared" si="35"/>
        <v>On Time</v>
      </c>
      <c r="J269" s="1" t="str">
        <f t="shared" si="36"/>
        <v>Full Day</v>
      </c>
      <c r="K269" s="1" t="str">
        <f t="shared" si="37"/>
        <v>Full Day</v>
      </c>
      <c r="L269" s="1" t="str">
        <f t="shared" si="38"/>
        <v>✓ Match</v>
      </c>
      <c r="M269" s="24" t="str">
        <f t="shared" si="39"/>
        <v>CLEAN</v>
      </c>
    </row>
    <row r="270" spans="1:13" ht="15" customHeight="1" x14ac:dyDescent="0.35">
      <c r="A270" s="1" t="s">
        <v>79</v>
      </c>
      <c r="B270" s="2" t="s">
        <v>80</v>
      </c>
      <c r="C270" s="1" t="s">
        <v>18</v>
      </c>
      <c r="D270" s="1" t="s">
        <v>42</v>
      </c>
      <c r="E270" s="24" t="s">
        <v>19</v>
      </c>
      <c r="F270" s="1" t="s">
        <v>64</v>
      </c>
      <c r="G270" s="1" t="s">
        <v>123</v>
      </c>
      <c r="H270" s="3">
        <f>IFERROR(MOD(TIMEVALUE(G270)-TIMEVALUE(F270),1)*24,0)</f>
        <v>12.083333333333332</v>
      </c>
      <c r="I270" s="24" t="str">
        <f t="shared" si="35"/>
        <v>On Time</v>
      </c>
      <c r="J270" s="1" t="str">
        <f t="shared" si="36"/>
        <v>Full Day</v>
      </c>
      <c r="K270" s="1" t="str">
        <f t="shared" si="37"/>
        <v>Full Day</v>
      </c>
      <c r="L270" s="1" t="str">
        <f t="shared" si="38"/>
        <v>✓ Match</v>
      </c>
      <c r="M270" s="24" t="str">
        <f t="shared" si="39"/>
        <v>CLEAN</v>
      </c>
    </row>
    <row r="271" spans="1:13" ht="15" customHeight="1" x14ac:dyDescent="0.35">
      <c r="A271" s="1" t="s">
        <v>117</v>
      </c>
      <c r="B271" s="2" t="s">
        <v>118</v>
      </c>
      <c r="C271" s="1" t="s">
        <v>30</v>
      </c>
      <c r="D271" s="1" t="s">
        <v>42</v>
      </c>
      <c r="E271" s="24" t="s">
        <v>19</v>
      </c>
      <c r="F271" s="1" t="s">
        <v>84</v>
      </c>
      <c r="G271" s="1" t="s">
        <v>90</v>
      </c>
      <c r="H271" s="3">
        <f>IFERROR(MOD(TIMEVALUE(G271)-TIMEVALUE(F271),1)*24,0)</f>
        <v>10.75</v>
      </c>
      <c r="I271" s="24" t="str">
        <f t="shared" si="35"/>
        <v>Late</v>
      </c>
      <c r="J271" s="1" t="str">
        <f t="shared" si="36"/>
        <v>Full Day</v>
      </c>
      <c r="K271" s="1" t="str">
        <f t="shared" si="37"/>
        <v>Full Day</v>
      </c>
      <c r="L271" s="1" t="str">
        <f t="shared" si="38"/>
        <v>✓ Match</v>
      </c>
      <c r="M271" s="24" t="str">
        <f t="shared" si="39"/>
        <v>CLEAN</v>
      </c>
    </row>
    <row r="272" spans="1:13" ht="15" customHeight="1" x14ac:dyDescent="0.35">
      <c r="A272" s="1" t="s">
        <v>82</v>
      </c>
      <c r="B272" s="2" t="s">
        <v>83</v>
      </c>
      <c r="C272" s="1" t="s">
        <v>68</v>
      </c>
      <c r="D272" s="1" t="s">
        <v>42</v>
      </c>
      <c r="E272" s="24" t="s">
        <v>13</v>
      </c>
      <c r="F272" s="1" t="s">
        <v>14</v>
      </c>
      <c r="G272" s="1" t="s">
        <v>15</v>
      </c>
      <c r="H272" s="3">
        <v>0</v>
      </c>
      <c r="I272" s="24" t="str">
        <f t="shared" si="35"/>
        <v/>
      </c>
      <c r="J272" s="1" t="str">
        <f t="shared" si="36"/>
        <v>Absent</v>
      </c>
      <c r="K272" s="1" t="str">
        <f t="shared" si="37"/>
        <v>N/A</v>
      </c>
      <c r="L272" s="1" t="str">
        <f t="shared" si="38"/>
        <v>⚠ Mismatch</v>
      </c>
      <c r="M272" s="24" t="str">
        <f t="shared" si="39"/>
        <v>REVIEW</v>
      </c>
    </row>
    <row r="273" spans="1:13" ht="15" customHeight="1" x14ac:dyDescent="0.35">
      <c r="A273" s="1" t="s">
        <v>28</v>
      </c>
      <c r="B273" s="2" t="s">
        <v>29</v>
      </c>
      <c r="C273" s="1" t="s">
        <v>30</v>
      </c>
      <c r="D273" s="1" t="s">
        <v>31</v>
      </c>
      <c r="E273" s="24" t="s">
        <v>19</v>
      </c>
      <c r="F273" s="1" t="s">
        <v>32</v>
      </c>
      <c r="G273" s="1" t="s">
        <v>27</v>
      </c>
      <c r="H273" s="3">
        <f t="shared" ref="H273:H281" si="40">IFERROR(MOD(TIMEVALUE(G273)-TIMEVALUE(F273),1)*24,0)</f>
        <v>12.583333333333334</v>
      </c>
      <c r="I273" s="24" t="str">
        <f t="shared" si="35"/>
        <v>On Time</v>
      </c>
      <c r="J273" s="1" t="str">
        <f t="shared" si="36"/>
        <v>Full Day</v>
      </c>
      <c r="K273" s="1" t="str">
        <f t="shared" si="37"/>
        <v>Full Day</v>
      </c>
      <c r="L273" s="1" t="str">
        <f t="shared" si="38"/>
        <v>✓ Match</v>
      </c>
      <c r="M273" s="24" t="str">
        <f t="shared" si="39"/>
        <v>CLEAN</v>
      </c>
    </row>
    <row r="274" spans="1:13" ht="15" customHeight="1" x14ac:dyDescent="0.35">
      <c r="A274" s="1" t="s">
        <v>45</v>
      </c>
      <c r="B274" s="2" t="s">
        <v>46</v>
      </c>
      <c r="C274" s="1" t="s">
        <v>18</v>
      </c>
      <c r="D274" s="1" t="s">
        <v>31</v>
      </c>
      <c r="E274" s="24" t="s">
        <v>19</v>
      </c>
      <c r="F274" s="1" t="s">
        <v>20</v>
      </c>
      <c r="G274" s="1" t="s">
        <v>39</v>
      </c>
      <c r="H274" s="3">
        <f t="shared" si="40"/>
        <v>10</v>
      </c>
      <c r="I274" s="24" t="str">
        <f t="shared" si="35"/>
        <v>On Time</v>
      </c>
      <c r="J274" s="1" t="str">
        <f t="shared" si="36"/>
        <v>Full Day</v>
      </c>
      <c r="K274" s="1" t="str">
        <f t="shared" si="37"/>
        <v>Full Day</v>
      </c>
      <c r="L274" s="1" t="str">
        <f t="shared" si="38"/>
        <v>✓ Match</v>
      </c>
      <c r="M274" s="24" t="str">
        <f t="shared" si="39"/>
        <v>CLEAN</v>
      </c>
    </row>
    <row r="275" spans="1:13" ht="15" customHeight="1" x14ac:dyDescent="0.35">
      <c r="A275" s="1" t="s">
        <v>61</v>
      </c>
      <c r="B275" s="2" t="s">
        <v>62</v>
      </c>
      <c r="C275" s="1" t="s">
        <v>11</v>
      </c>
      <c r="D275" s="1" t="s">
        <v>31</v>
      </c>
      <c r="E275" s="24" t="s">
        <v>19</v>
      </c>
      <c r="F275" s="1" t="s">
        <v>84</v>
      </c>
      <c r="G275" s="1" t="s">
        <v>85</v>
      </c>
      <c r="H275" s="3">
        <f t="shared" si="40"/>
        <v>6.9166666666666679</v>
      </c>
      <c r="I275" s="24" t="str">
        <f t="shared" si="35"/>
        <v>Late</v>
      </c>
      <c r="J275" s="1" t="str">
        <f t="shared" si="36"/>
        <v>Half Day</v>
      </c>
      <c r="K275" s="1" t="str">
        <f t="shared" si="37"/>
        <v>Half Day</v>
      </c>
      <c r="L275" s="1" t="str">
        <f t="shared" si="38"/>
        <v>✓ Match</v>
      </c>
      <c r="M275" s="24" t="str">
        <f t="shared" si="39"/>
        <v>CLEAN</v>
      </c>
    </row>
    <row r="276" spans="1:13" ht="15" customHeight="1" x14ac:dyDescent="0.35">
      <c r="A276" s="1" t="s">
        <v>158</v>
      </c>
      <c r="B276" s="2" t="s">
        <v>159</v>
      </c>
      <c r="C276" s="1" t="s">
        <v>11</v>
      </c>
      <c r="D276" s="1" t="s">
        <v>31</v>
      </c>
      <c r="E276" s="24" t="s">
        <v>19</v>
      </c>
      <c r="F276" s="1" t="s">
        <v>160</v>
      </c>
      <c r="G276" s="1" t="s">
        <v>153</v>
      </c>
      <c r="H276" s="3">
        <f t="shared" si="40"/>
        <v>8.8333333333333321</v>
      </c>
      <c r="I276" s="24" t="str">
        <f t="shared" si="35"/>
        <v>Late</v>
      </c>
      <c r="J276" s="1" t="str">
        <f t="shared" si="36"/>
        <v>Full Day</v>
      </c>
      <c r="K276" s="1" t="str">
        <f t="shared" si="37"/>
        <v>Full Day</v>
      </c>
      <c r="L276" s="1" t="str">
        <f t="shared" si="38"/>
        <v>✓ Match</v>
      </c>
      <c r="M276" s="24" t="str">
        <f t="shared" si="39"/>
        <v>CLEAN</v>
      </c>
    </row>
    <row r="277" spans="1:13" ht="15" customHeight="1" x14ac:dyDescent="0.35">
      <c r="A277" s="1" t="s">
        <v>105</v>
      </c>
      <c r="B277" s="2" t="s">
        <v>106</v>
      </c>
      <c r="C277" s="1" t="s">
        <v>11</v>
      </c>
      <c r="D277" s="1" t="s">
        <v>31</v>
      </c>
      <c r="E277" s="24" t="s">
        <v>19</v>
      </c>
      <c r="F277" s="1" t="s">
        <v>128</v>
      </c>
      <c r="G277" s="1" t="s">
        <v>44</v>
      </c>
      <c r="H277" s="3">
        <f t="shared" si="40"/>
        <v>9.0000000000000018</v>
      </c>
      <c r="I277" s="24" t="str">
        <f t="shared" si="35"/>
        <v>Late</v>
      </c>
      <c r="J277" s="1" t="str">
        <f t="shared" si="36"/>
        <v>Full Day</v>
      </c>
      <c r="K277" s="1" t="str">
        <f t="shared" si="37"/>
        <v>Full Day</v>
      </c>
      <c r="L277" s="1" t="str">
        <f t="shared" si="38"/>
        <v>✓ Match</v>
      </c>
      <c r="M277" s="24" t="str">
        <f t="shared" si="39"/>
        <v>CLEAN</v>
      </c>
    </row>
    <row r="278" spans="1:13" ht="15" customHeight="1" x14ac:dyDescent="0.35">
      <c r="A278" s="1" t="s">
        <v>66</v>
      </c>
      <c r="B278" s="2" t="s">
        <v>67</v>
      </c>
      <c r="C278" s="1" t="s">
        <v>68</v>
      </c>
      <c r="D278" s="1" t="s">
        <v>31</v>
      </c>
      <c r="E278" s="24" t="s">
        <v>19</v>
      </c>
      <c r="F278" s="1" t="s">
        <v>137</v>
      </c>
      <c r="G278" s="1" t="s">
        <v>115</v>
      </c>
      <c r="H278" s="3">
        <f t="shared" si="40"/>
        <v>6.9166666666666643</v>
      </c>
      <c r="I278" s="24" t="str">
        <f t="shared" si="35"/>
        <v>Late</v>
      </c>
      <c r="J278" s="1" t="str">
        <f t="shared" si="36"/>
        <v>Half Day</v>
      </c>
      <c r="K278" s="1" t="str">
        <f t="shared" si="37"/>
        <v>Half Day</v>
      </c>
      <c r="L278" s="1" t="str">
        <f t="shared" si="38"/>
        <v>✓ Match</v>
      </c>
      <c r="M278" s="24" t="str">
        <f t="shared" si="39"/>
        <v>CLEAN</v>
      </c>
    </row>
    <row r="279" spans="1:13" ht="15" customHeight="1" x14ac:dyDescent="0.35">
      <c r="A279" s="1" t="s">
        <v>150</v>
      </c>
      <c r="B279" s="2" t="s">
        <v>151</v>
      </c>
      <c r="C279" s="1" t="s">
        <v>68</v>
      </c>
      <c r="D279" s="1" t="s">
        <v>31</v>
      </c>
      <c r="E279" s="24" t="s">
        <v>19</v>
      </c>
      <c r="F279" s="1" t="s">
        <v>43</v>
      </c>
      <c r="G279" s="1" t="s">
        <v>90</v>
      </c>
      <c r="H279" s="3">
        <f t="shared" si="40"/>
        <v>11.5</v>
      </c>
      <c r="I279" s="24" t="str">
        <f t="shared" si="35"/>
        <v>On Time</v>
      </c>
      <c r="J279" s="1" t="str">
        <f t="shared" si="36"/>
        <v>Full Day</v>
      </c>
      <c r="K279" s="1" t="str">
        <f t="shared" si="37"/>
        <v>Full Day</v>
      </c>
      <c r="L279" s="1" t="str">
        <f t="shared" si="38"/>
        <v>✓ Match</v>
      </c>
      <c r="M279" s="24" t="str">
        <f t="shared" si="39"/>
        <v>CLEAN</v>
      </c>
    </row>
    <row r="280" spans="1:13" ht="15" customHeight="1" x14ac:dyDescent="0.35">
      <c r="A280" s="1" t="s">
        <v>98</v>
      </c>
      <c r="B280" s="2" t="s">
        <v>99</v>
      </c>
      <c r="C280" s="1" t="s">
        <v>18</v>
      </c>
      <c r="D280" s="1" t="s">
        <v>31</v>
      </c>
      <c r="E280" s="24" t="s">
        <v>19</v>
      </c>
      <c r="F280" s="1" t="s">
        <v>56</v>
      </c>
      <c r="G280" s="1" t="s">
        <v>60</v>
      </c>
      <c r="H280" s="3">
        <f t="shared" si="40"/>
        <v>8.75</v>
      </c>
      <c r="I280" s="24" t="str">
        <f t="shared" si="35"/>
        <v>Late</v>
      </c>
      <c r="J280" s="1" t="str">
        <f t="shared" si="36"/>
        <v>Full Day</v>
      </c>
      <c r="K280" s="1" t="str">
        <f t="shared" si="37"/>
        <v>Full Day</v>
      </c>
      <c r="L280" s="1" t="str">
        <f t="shared" si="38"/>
        <v>✓ Match</v>
      </c>
      <c r="M280" s="24" t="str">
        <f t="shared" si="39"/>
        <v>CLEAN</v>
      </c>
    </row>
    <row r="281" spans="1:13" ht="15" customHeight="1" x14ac:dyDescent="0.35">
      <c r="A281" s="1" t="s">
        <v>47</v>
      </c>
      <c r="B281" s="2" t="s">
        <v>48</v>
      </c>
      <c r="C281" s="1" t="s">
        <v>18</v>
      </c>
      <c r="D281" s="1" t="s">
        <v>31</v>
      </c>
      <c r="E281" s="24" t="s">
        <v>19</v>
      </c>
      <c r="F281" s="1" t="s">
        <v>163</v>
      </c>
      <c r="G281" s="1" t="s">
        <v>156</v>
      </c>
      <c r="H281" s="3">
        <f t="shared" si="40"/>
        <v>9.1666666666666643</v>
      </c>
      <c r="I281" s="24" t="str">
        <f t="shared" si="35"/>
        <v>On Time</v>
      </c>
      <c r="J281" s="1" t="str">
        <f t="shared" si="36"/>
        <v>Full Day</v>
      </c>
      <c r="K281" s="1" t="str">
        <f t="shared" si="37"/>
        <v>Full Day</v>
      </c>
      <c r="L281" s="1" t="str">
        <f t="shared" si="38"/>
        <v>✓ Match</v>
      </c>
      <c r="M281" s="24" t="str">
        <f t="shared" si="39"/>
        <v>CLEAN</v>
      </c>
    </row>
    <row r="282" spans="1:13" ht="15" customHeight="1" x14ac:dyDescent="0.35">
      <c r="A282" s="1" t="s">
        <v>57</v>
      </c>
      <c r="B282" s="2" t="s">
        <v>58</v>
      </c>
      <c r="C282" s="1" t="s">
        <v>30</v>
      </c>
      <c r="D282" s="1" t="s">
        <v>31</v>
      </c>
      <c r="E282" s="24" t="s">
        <v>13</v>
      </c>
      <c r="F282" s="1" t="s">
        <v>14</v>
      </c>
      <c r="G282" s="1" t="s">
        <v>15</v>
      </c>
      <c r="H282" s="3">
        <v>0</v>
      </c>
      <c r="I282" s="24" t="str">
        <f t="shared" si="35"/>
        <v/>
      </c>
      <c r="J282" s="1" t="str">
        <f t="shared" si="36"/>
        <v>Absent</v>
      </c>
      <c r="K282" s="1" t="str">
        <f t="shared" si="37"/>
        <v>N/A</v>
      </c>
      <c r="L282" s="1" t="str">
        <f t="shared" si="38"/>
        <v>⚠ Mismatch</v>
      </c>
      <c r="M282" s="24" t="str">
        <f t="shared" si="39"/>
        <v>REVIEW</v>
      </c>
    </row>
    <row r="283" spans="1:13" ht="15" customHeight="1" x14ac:dyDescent="0.35">
      <c r="A283" s="1" t="s">
        <v>112</v>
      </c>
      <c r="B283" s="2" t="s">
        <v>113</v>
      </c>
      <c r="C283" s="1" t="s">
        <v>30</v>
      </c>
      <c r="D283" s="1" t="s">
        <v>31</v>
      </c>
      <c r="E283" s="24" t="s">
        <v>13</v>
      </c>
      <c r="F283" s="1" t="s">
        <v>14</v>
      </c>
      <c r="G283" s="1" t="s">
        <v>15</v>
      </c>
      <c r="H283" s="3">
        <v>0</v>
      </c>
      <c r="I283" s="24" t="str">
        <f t="shared" si="35"/>
        <v/>
      </c>
      <c r="J283" s="1" t="str">
        <f t="shared" si="36"/>
        <v>Absent</v>
      </c>
      <c r="K283" s="1" t="str">
        <f t="shared" si="37"/>
        <v>N/A</v>
      </c>
      <c r="L283" s="1" t="str">
        <f t="shared" si="38"/>
        <v>⚠ Mismatch</v>
      </c>
      <c r="M283" s="24" t="str">
        <f t="shared" si="39"/>
        <v>REVIEW</v>
      </c>
    </row>
    <row r="284" spans="1:13" ht="15" customHeight="1" x14ac:dyDescent="0.35">
      <c r="A284" s="1" t="s">
        <v>16</v>
      </c>
      <c r="B284" s="2" t="s">
        <v>17</v>
      </c>
      <c r="C284" s="1" t="s">
        <v>18</v>
      </c>
      <c r="D284" s="1" t="s">
        <v>31</v>
      </c>
      <c r="E284" s="24" t="s">
        <v>19</v>
      </c>
      <c r="F284" s="1" t="s">
        <v>129</v>
      </c>
      <c r="G284" s="1" t="s">
        <v>156</v>
      </c>
      <c r="H284" s="3">
        <f t="shared" ref="H284:H291" si="41">IFERROR(MOD(TIMEVALUE(G284)-TIMEVALUE(F284),1)*24,0)</f>
        <v>8.5</v>
      </c>
      <c r="I284" s="24" t="str">
        <f t="shared" si="35"/>
        <v>On Time</v>
      </c>
      <c r="J284" s="1" t="str">
        <f t="shared" si="36"/>
        <v>Full Day</v>
      </c>
      <c r="K284" s="1" t="str">
        <f t="shared" si="37"/>
        <v>Full Day</v>
      </c>
      <c r="L284" s="1" t="str">
        <f t="shared" si="38"/>
        <v>✓ Match</v>
      </c>
      <c r="M284" s="24" t="str">
        <f t="shared" si="39"/>
        <v>CLEAN</v>
      </c>
    </row>
    <row r="285" spans="1:13" ht="15" customHeight="1" x14ac:dyDescent="0.35">
      <c r="A285" s="1" t="s">
        <v>110</v>
      </c>
      <c r="B285" s="2" t="s">
        <v>111</v>
      </c>
      <c r="C285" s="1" t="s">
        <v>68</v>
      </c>
      <c r="D285" s="1" t="s">
        <v>31</v>
      </c>
      <c r="E285" s="24" t="s">
        <v>37</v>
      </c>
      <c r="F285" s="1" t="s">
        <v>20</v>
      </c>
      <c r="G285" s="1" t="s">
        <v>50</v>
      </c>
      <c r="H285" s="3">
        <f t="shared" si="41"/>
        <v>8.2500000000000018</v>
      </c>
      <c r="I285" s="24" t="str">
        <f t="shared" si="35"/>
        <v>On Time</v>
      </c>
      <c r="J285" s="1" t="str">
        <f t="shared" si="36"/>
        <v>Full Day</v>
      </c>
      <c r="K285" s="1" t="str">
        <f t="shared" si="37"/>
        <v>Full Day</v>
      </c>
      <c r="L285" s="1" t="str">
        <f t="shared" si="38"/>
        <v>✓ Match</v>
      </c>
      <c r="M285" s="24" t="str">
        <f t="shared" si="39"/>
        <v>CLEAN</v>
      </c>
    </row>
    <row r="286" spans="1:13" ht="15" customHeight="1" x14ac:dyDescent="0.35">
      <c r="A286" s="1" t="s">
        <v>40</v>
      </c>
      <c r="B286" s="2" t="s">
        <v>41</v>
      </c>
      <c r="C286" s="1" t="s">
        <v>24</v>
      </c>
      <c r="D286" s="1" t="s">
        <v>31</v>
      </c>
      <c r="E286" s="24" t="s">
        <v>19</v>
      </c>
      <c r="F286" s="1" t="s">
        <v>20</v>
      </c>
      <c r="G286" s="1" t="s">
        <v>148</v>
      </c>
      <c r="H286" s="3">
        <f t="shared" si="41"/>
        <v>8</v>
      </c>
      <c r="I286" s="24" t="str">
        <f t="shared" si="35"/>
        <v>On Time</v>
      </c>
      <c r="J286" s="1" t="str">
        <f t="shared" si="36"/>
        <v>Full Day</v>
      </c>
      <c r="K286" s="1" t="str">
        <f t="shared" si="37"/>
        <v>Full Day</v>
      </c>
      <c r="L286" s="1" t="str">
        <f t="shared" si="38"/>
        <v>✓ Match</v>
      </c>
      <c r="M286" s="24" t="str">
        <f t="shared" si="39"/>
        <v>CLEAN</v>
      </c>
    </row>
    <row r="287" spans="1:13" ht="15" customHeight="1" x14ac:dyDescent="0.35">
      <c r="A287" s="1" t="s">
        <v>76</v>
      </c>
      <c r="B287" s="2" t="s">
        <v>77</v>
      </c>
      <c r="C287" s="1" t="s">
        <v>68</v>
      </c>
      <c r="D287" s="1" t="s">
        <v>31</v>
      </c>
      <c r="E287" s="24" t="s">
        <v>37</v>
      </c>
      <c r="F287" s="1" t="s">
        <v>34</v>
      </c>
      <c r="G287" s="1" t="s">
        <v>97</v>
      </c>
      <c r="H287" s="3">
        <f t="shared" si="41"/>
        <v>8.5</v>
      </c>
      <c r="I287" s="24" t="str">
        <f t="shared" si="35"/>
        <v>Late</v>
      </c>
      <c r="J287" s="1" t="str">
        <f t="shared" si="36"/>
        <v>Full Day</v>
      </c>
      <c r="K287" s="1" t="str">
        <f t="shared" si="37"/>
        <v>Full Day</v>
      </c>
      <c r="L287" s="1" t="str">
        <f t="shared" si="38"/>
        <v>✓ Match</v>
      </c>
      <c r="M287" s="24" t="str">
        <f t="shared" si="39"/>
        <v>CLEAN</v>
      </c>
    </row>
    <row r="288" spans="1:13" ht="15" customHeight="1" x14ac:dyDescent="0.35">
      <c r="A288" s="1" t="s">
        <v>120</v>
      </c>
      <c r="B288" s="2" t="s">
        <v>121</v>
      </c>
      <c r="C288" s="1" t="s">
        <v>11</v>
      </c>
      <c r="D288" s="1" t="s">
        <v>31</v>
      </c>
      <c r="E288" s="24" t="s">
        <v>19</v>
      </c>
      <c r="F288" s="1" t="s">
        <v>163</v>
      </c>
      <c r="G288" s="1" t="s">
        <v>156</v>
      </c>
      <c r="H288" s="3">
        <f t="shared" si="41"/>
        <v>9.1666666666666643</v>
      </c>
      <c r="I288" s="24" t="str">
        <f t="shared" si="35"/>
        <v>On Time</v>
      </c>
      <c r="J288" s="1" t="str">
        <f t="shared" si="36"/>
        <v>Full Day</v>
      </c>
      <c r="K288" s="1" t="str">
        <f t="shared" si="37"/>
        <v>Full Day</v>
      </c>
      <c r="L288" s="1" t="str">
        <f t="shared" si="38"/>
        <v>✓ Match</v>
      </c>
      <c r="M288" s="24" t="str">
        <f t="shared" si="39"/>
        <v>CLEAN</v>
      </c>
    </row>
    <row r="289" spans="1:13" ht="15" customHeight="1" x14ac:dyDescent="0.35">
      <c r="A289" s="1" t="s">
        <v>124</v>
      </c>
      <c r="B289" s="2" t="s">
        <v>125</v>
      </c>
      <c r="C289" s="1" t="s">
        <v>68</v>
      </c>
      <c r="D289" s="1" t="s">
        <v>31</v>
      </c>
      <c r="E289" s="24" t="s">
        <v>19</v>
      </c>
      <c r="F289" s="1" t="s">
        <v>138</v>
      </c>
      <c r="G289" s="1" t="s">
        <v>97</v>
      </c>
      <c r="H289" s="3">
        <f t="shared" si="41"/>
        <v>11.083333333333334</v>
      </c>
      <c r="I289" s="24" t="str">
        <f t="shared" si="35"/>
        <v>Late</v>
      </c>
      <c r="J289" s="1" t="str">
        <f t="shared" si="36"/>
        <v>Full Day</v>
      </c>
      <c r="K289" s="1" t="str">
        <f t="shared" si="37"/>
        <v>Full Day</v>
      </c>
      <c r="L289" s="1" t="str">
        <f t="shared" si="38"/>
        <v>✓ Match</v>
      </c>
      <c r="M289" s="24" t="str">
        <f t="shared" si="39"/>
        <v>CLEAN</v>
      </c>
    </row>
    <row r="290" spans="1:13" ht="15" customHeight="1" x14ac:dyDescent="0.35">
      <c r="A290" s="1" t="s">
        <v>142</v>
      </c>
      <c r="B290" s="2" t="s">
        <v>143</v>
      </c>
      <c r="C290" s="1" t="s">
        <v>18</v>
      </c>
      <c r="D290" s="1" t="s">
        <v>31</v>
      </c>
      <c r="E290" s="24" t="s">
        <v>37</v>
      </c>
      <c r="F290" s="1" t="s">
        <v>128</v>
      </c>
      <c r="G290" s="1" t="s">
        <v>123</v>
      </c>
      <c r="H290" s="3">
        <f t="shared" si="41"/>
        <v>10.666666666666668</v>
      </c>
      <c r="I290" s="24" t="str">
        <f t="shared" si="35"/>
        <v>Late</v>
      </c>
      <c r="J290" s="1" t="str">
        <f t="shared" si="36"/>
        <v>Full Day</v>
      </c>
      <c r="K290" s="1" t="str">
        <f t="shared" si="37"/>
        <v>Full Day</v>
      </c>
      <c r="L290" s="1" t="str">
        <f t="shared" si="38"/>
        <v>✓ Match</v>
      </c>
      <c r="M290" s="24" t="str">
        <f t="shared" si="39"/>
        <v>CLEAN</v>
      </c>
    </row>
    <row r="291" spans="1:13" ht="15" customHeight="1" x14ac:dyDescent="0.35">
      <c r="A291" s="1" t="s">
        <v>117</v>
      </c>
      <c r="B291" s="2" t="s">
        <v>118</v>
      </c>
      <c r="C291" s="1" t="s">
        <v>30</v>
      </c>
      <c r="D291" s="1" t="s">
        <v>31</v>
      </c>
      <c r="E291" s="24" t="s">
        <v>19</v>
      </c>
      <c r="F291" s="1" t="s">
        <v>152</v>
      </c>
      <c r="G291" s="1" t="s">
        <v>50</v>
      </c>
      <c r="H291" s="3">
        <f t="shared" si="41"/>
        <v>6.5000000000000009</v>
      </c>
      <c r="I291" s="24" t="str">
        <f t="shared" si="35"/>
        <v>Late</v>
      </c>
      <c r="J291" s="1" t="str">
        <f t="shared" si="36"/>
        <v>Half Day</v>
      </c>
      <c r="K291" s="1" t="str">
        <f t="shared" si="37"/>
        <v>Half Day</v>
      </c>
      <c r="L291" s="1" t="str">
        <f t="shared" si="38"/>
        <v>✓ Match</v>
      </c>
      <c r="M291" s="24" t="str">
        <f t="shared" si="39"/>
        <v>CLEAN</v>
      </c>
    </row>
    <row r="292" spans="1:13" ht="15" customHeight="1" x14ac:dyDescent="0.35">
      <c r="A292" s="1" t="s">
        <v>72</v>
      </c>
      <c r="B292" s="2" t="s">
        <v>73</v>
      </c>
      <c r="C292" s="1" t="s">
        <v>68</v>
      </c>
      <c r="D292" s="1" t="s">
        <v>31</v>
      </c>
      <c r="E292" s="24" t="s">
        <v>13</v>
      </c>
      <c r="F292" s="1" t="s">
        <v>14</v>
      </c>
      <c r="G292" s="1" t="s">
        <v>15</v>
      </c>
      <c r="H292" s="3">
        <v>0</v>
      </c>
      <c r="I292" s="24" t="str">
        <f t="shared" si="35"/>
        <v/>
      </c>
      <c r="J292" s="1" t="str">
        <f t="shared" si="36"/>
        <v>Absent</v>
      </c>
      <c r="K292" s="1" t="str">
        <f t="shared" si="37"/>
        <v>N/A</v>
      </c>
      <c r="L292" s="1" t="str">
        <f t="shared" si="38"/>
        <v>⚠ Mismatch</v>
      </c>
      <c r="M292" s="24" t="str">
        <f t="shared" si="39"/>
        <v>REVIEW</v>
      </c>
    </row>
    <row r="293" spans="1:13" ht="15" customHeight="1" x14ac:dyDescent="0.35">
      <c r="A293" s="1" t="s">
        <v>95</v>
      </c>
      <c r="B293" s="2" t="s">
        <v>96</v>
      </c>
      <c r="C293" s="1" t="s">
        <v>68</v>
      </c>
      <c r="D293" s="1" t="s">
        <v>31</v>
      </c>
      <c r="E293" s="24" t="s">
        <v>13</v>
      </c>
      <c r="F293" s="1" t="s">
        <v>14</v>
      </c>
      <c r="G293" s="1" t="s">
        <v>15</v>
      </c>
      <c r="H293" s="3">
        <v>0</v>
      </c>
      <c r="I293" s="24" t="str">
        <f t="shared" si="35"/>
        <v/>
      </c>
      <c r="J293" s="1" t="str">
        <f t="shared" si="36"/>
        <v>Absent</v>
      </c>
      <c r="K293" s="1" t="str">
        <f t="shared" si="37"/>
        <v>N/A</v>
      </c>
      <c r="L293" s="1" t="str">
        <f t="shared" si="38"/>
        <v>⚠ Mismatch</v>
      </c>
      <c r="M293" s="24" t="str">
        <f t="shared" si="39"/>
        <v>REVIEW</v>
      </c>
    </row>
    <row r="294" spans="1:13" ht="15" customHeight="1" x14ac:dyDescent="0.35">
      <c r="A294" s="1" t="s">
        <v>130</v>
      </c>
      <c r="B294" s="2" t="s">
        <v>131</v>
      </c>
      <c r="C294" s="1" t="s">
        <v>11</v>
      </c>
      <c r="D294" s="1" t="s">
        <v>31</v>
      </c>
      <c r="E294" s="24" t="s">
        <v>19</v>
      </c>
      <c r="F294" s="1" t="s">
        <v>64</v>
      </c>
      <c r="G294" s="1" t="s">
        <v>147</v>
      </c>
      <c r="H294" s="3">
        <f>IFERROR(MOD(TIMEVALUE(G294)-TIMEVALUE(F294),1)*24,0)</f>
        <v>9.25</v>
      </c>
      <c r="I294" s="24" t="str">
        <f t="shared" si="35"/>
        <v>On Time</v>
      </c>
      <c r="J294" s="1" t="str">
        <f t="shared" si="36"/>
        <v>Full Day</v>
      </c>
      <c r="K294" s="1" t="str">
        <f t="shared" si="37"/>
        <v>Full Day</v>
      </c>
      <c r="L294" s="1" t="str">
        <f t="shared" si="38"/>
        <v>✓ Match</v>
      </c>
      <c r="M294" s="24" t="str">
        <f t="shared" si="39"/>
        <v>CLEAN</v>
      </c>
    </row>
    <row r="295" spans="1:13" ht="15" customHeight="1" x14ac:dyDescent="0.35">
      <c r="A295" s="1" t="s">
        <v>91</v>
      </c>
      <c r="B295" s="2" t="s">
        <v>92</v>
      </c>
      <c r="C295" s="1" t="s">
        <v>18</v>
      </c>
      <c r="D295" s="1" t="s">
        <v>31</v>
      </c>
      <c r="E295" s="24" t="s">
        <v>19</v>
      </c>
      <c r="F295" s="1" t="s">
        <v>128</v>
      </c>
      <c r="G295" s="1" t="s">
        <v>27</v>
      </c>
      <c r="H295" s="3">
        <f>IFERROR(MOD(TIMEVALUE(G295)-TIMEVALUE(F295),1)*24,0)</f>
        <v>11.250000000000002</v>
      </c>
      <c r="I295" s="24" t="str">
        <f t="shared" si="35"/>
        <v>Late</v>
      </c>
      <c r="J295" s="1" t="str">
        <f t="shared" si="36"/>
        <v>Full Day</v>
      </c>
      <c r="K295" s="1" t="str">
        <f t="shared" si="37"/>
        <v>Full Day</v>
      </c>
      <c r="L295" s="1" t="str">
        <f t="shared" si="38"/>
        <v>✓ Match</v>
      </c>
      <c r="M295" s="24" t="str">
        <f t="shared" si="39"/>
        <v>CLEAN</v>
      </c>
    </row>
    <row r="296" spans="1:13" ht="15" customHeight="1" x14ac:dyDescent="0.35">
      <c r="A296" s="1" t="s">
        <v>134</v>
      </c>
      <c r="B296" s="2" t="s">
        <v>135</v>
      </c>
      <c r="C296" s="1" t="s">
        <v>68</v>
      </c>
      <c r="D296" s="1" t="s">
        <v>31</v>
      </c>
      <c r="E296" s="24" t="s">
        <v>13</v>
      </c>
      <c r="F296" s="1" t="s">
        <v>14</v>
      </c>
      <c r="G296" s="1" t="s">
        <v>15</v>
      </c>
      <c r="H296" s="3">
        <v>0</v>
      </c>
      <c r="I296" s="24" t="str">
        <f t="shared" si="35"/>
        <v/>
      </c>
      <c r="J296" s="1" t="str">
        <f t="shared" si="36"/>
        <v>Absent</v>
      </c>
      <c r="K296" s="1" t="str">
        <f t="shared" si="37"/>
        <v>N/A</v>
      </c>
      <c r="L296" s="1" t="str">
        <f t="shared" si="38"/>
        <v>⚠ Mismatch</v>
      </c>
      <c r="M296" s="24" t="str">
        <f t="shared" si="39"/>
        <v>REVIEW</v>
      </c>
    </row>
    <row r="297" spans="1:13" ht="15" customHeight="1" x14ac:dyDescent="0.35">
      <c r="A297" s="1" t="s">
        <v>53</v>
      </c>
      <c r="B297" s="2" t="s">
        <v>54</v>
      </c>
      <c r="C297" s="1" t="s">
        <v>18</v>
      </c>
      <c r="D297" s="1" t="s">
        <v>31</v>
      </c>
      <c r="E297" s="24" t="s">
        <v>13</v>
      </c>
      <c r="F297" s="1" t="s">
        <v>14</v>
      </c>
      <c r="G297" s="1" t="s">
        <v>15</v>
      </c>
      <c r="H297" s="3">
        <v>0</v>
      </c>
      <c r="I297" s="24" t="str">
        <f t="shared" si="35"/>
        <v/>
      </c>
      <c r="J297" s="1" t="str">
        <f t="shared" si="36"/>
        <v>Absent</v>
      </c>
      <c r="K297" s="1" t="str">
        <f t="shared" si="37"/>
        <v>N/A</v>
      </c>
      <c r="L297" s="1" t="str">
        <f t="shared" si="38"/>
        <v>⚠ Mismatch</v>
      </c>
      <c r="M297" s="24" t="str">
        <f t="shared" si="39"/>
        <v>REVIEW</v>
      </c>
    </row>
    <row r="298" spans="1:13" ht="15" customHeight="1" x14ac:dyDescent="0.35">
      <c r="A298" s="1" t="s">
        <v>9</v>
      </c>
      <c r="B298" s="2" t="s">
        <v>10</v>
      </c>
      <c r="C298" s="1" t="s">
        <v>11</v>
      </c>
      <c r="D298" s="1" t="s">
        <v>31</v>
      </c>
      <c r="E298" s="24" t="s">
        <v>37</v>
      </c>
      <c r="F298" s="1" t="s">
        <v>26</v>
      </c>
      <c r="G298" s="1" t="s">
        <v>97</v>
      </c>
      <c r="H298" s="3">
        <f t="shared" ref="H298:H303" si="42">IFERROR(MOD(TIMEVALUE(G298)-TIMEVALUE(F298),1)*24,0)</f>
        <v>10.166666666666666</v>
      </c>
      <c r="I298" s="24" t="str">
        <f t="shared" si="35"/>
        <v>Late</v>
      </c>
      <c r="J298" s="1" t="str">
        <f t="shared" si="36"/>
        <v>Full Day</v>
      </c>
      <c r="K298" s="1" t="str">
        <f t="shared" si="37"/>
        <v>Full Day</v>
      </c>
      <c r="L298" s="1" t="str">
        <f t="shared" si="38"/>
        <v>✓ Match</v>
      </c>
      <c r="M298" s="24" t="str">
        <f t="shared" si="39"/>
        <v>CLEAN</v>
      </c>
    </row>
    <row r="299" spans="1:13" ht="15" customHeight="1" x14ac:dyDescent="0.35">
      <c r="A299" s="1" t="s">
        <v>79</v>
      </c>
      <c r="B299" s="2" t="s">
        <v>80</v>
      </c>
      <c r="C299" s="1" t="s">
        <v>18</v>
      </c>
      <c r="D299" s="1" t="s">
        <v>31</v>
      </c>
      <c r="E299" s="24" t="s">
        <v>19</v>
      </c>
      <c r="F299" s="1" t="s">
        <v>128</v>
      </c>
      <c r="G299" s="1" t="s">
        <v>144</v>
      </c>
      <c r="H299" s="3">
        <f t="shared" si="42"/>
        <v>7</v>
      </c>
      <c r="I299" s="24" t="str">
        <f t="shared" si="35"/>
        <v>Late</v>
      </c>
      <c r="J299" s="1" t="str">
        <f t="shared" si="36"/>
        <v>Half Day</v>
      </c>
      <c r="K299" s="1" t="str">
        <f t="shared" si="37"/>
        <v>Half Day</v>
      </c>
      <c r="L299" s="1" t="str">
        <f t="shared" si="38"/>
        <v>✓ Match</v>
      </c>
      <c r="M299" s="24" t="str">
        <f t="shared" si="39"/>
        <v>CLEAN</v>
      </c>
    </row>
    <row r="300" spans="1:13" ht="15" customHeight="1" x14ac:dyDescent="0.35">
      <c r="A300" s="1" t="s">
        <v>101</v>
      </c>
      <c r="B300" s="2" t="s">
        <v>102</v>
      </c>
      <c r="C300" s="1" t="s">
        <v>30</v>
      </c>
      <c r="D300" s="1" t="s">
        <v>31</v>
      </c>
      <c r="E300" s="24" t="s">
        <v>19</v>
      </c>
      <c r="F300" s="1" t="s">
        <v>138</v>
      </c>
      <c r="G300" s="1" t="s">
        <v>148</v>
      </c>
      <c r="H300" s="3">
        <f t="shared" si="42"/>
        <v>7.583333333333333</v>
      </c>
      <c r="I300" s="24" t="str">
        <f t="shared" si="35"/>
        <v>Late</v>
      </c>
      <c r="J300" s="1" t="str">
        <f t="shared" si="36"/>
        <v>Half Day</v>
      </c>
      <c r="K300" s="1" t="str">
        <f t="shared" si="37"/>
        <v>Half Day</v>
      </c>
      <c r="L300" s="1" t="str">
        <f t="shared" si="38"/>
        <v>✓ Match</v>
      </c>
      <c r="M300" s="24" t="str">
        <f t="shared" si="39"/>
        <v>CLEAN</v>
      </c>
    </row>
    <row r="301" spans="1:13" ht="15" customHeight="1" x14ac:dyDescent="0.35">
      <c r="A301" s="1" t="s">
        <v>22</v>
      </c>
      <c r="B301" s="2" t="s">
        <v>23</v>
      </c>
      <c r="C301" s="1" t="s">
        <v>24</v>
      </c>
      <c r="D301" s="1" t="s">
        <v>31</v>
      </c>
      <c r="E301" s="24" t="s">
        <v>19</v>
      </c>
      <c r="F301" s="1" t="s">
        <v>138</v>
      </c>
      <c r="G301" s="1" t="s">
        <v>90</v>
      </c>
      <c r="H301" s="3">
        <f t="shared" si="42"/>
        <v>10.833333333333336</v>
      </c>
      <c r="I301" s="24" t="str">
        <f t="shared" si="35"/>
        <v>Late</v>
      </c>
      <c r="J301" s="1" t="str">
        <f t="shared" si="36"/>
        <v>Full Day</v>
      </c>
      <c r="K301" s="1" t="str">
        <f t="shared" si="37"/>
        <v>Full Day</v>
      </c>
      <c r="L301" s="1" t="str">
        <f t="shared" si="38"/>
        <v>✓ Match</v>
      </c>
      <c r="M301" s="24" t="str">
        <f t="shared" si="39"/>
        <v>CLEAN</v>
      </c>
    </row>
    <row r="302" spans="1:13" ht="15" customHeight="1" x14ac:dyDescent="0.35">
      <c r="A302" s="1" t="s">
        <v>82</v>
      </c>
      <c r="B302" s="2" t="s">
        <v>83</v>
      </c>
      <c r="C302" s="1" t="s">
        <v>68</v>
      </c>
      <c r="D302" s="1" t="s">
        <v>31</v>
      </c>
      <c r="E302" s="24" t="s">
        <v>19</v>
      </c>
      <c r="F302" s="1" t="s">
        <v>122</v>
      </c>
      <c r="G302" s="1" t="s">
        <v>39</v>
      </c>
      <c r="H302" s="3">
        <f t="shared" si="42"/>
        <v>9.4166666666666661</v>
      </c>
      <c r="I302" s="24" t="str">
        <f t="shared" si="35"/>
        <v>Late</v>
      </c>
      <c r="J302" s="1" t="str">
        <f t="shared" si="36"/>
        <v>Full Day</v>
      </c>
      <c r="K302" s="1" t="str">
        <f t="shared" si="37"/>
        <v>Full Day</v>
      </c>
      <c r="L302" s="1" t="str">
        <f t="shared" si="38"/>
        <v>✓ Match</v>
      </c>
      <c r="M302" s="24" t="str">
        <f t="shared" si="39"/>
        <v>CLEAN</v>
      </c>
    </row>
    <row r="303" spans="1:13" ht="15" customHeight="1" x14ac:dyDescent="0.35">
      <c r="A303" s="1" t="s">
        <v>82</v>
      </c>
      <c r="B303" s="2" t="s">
        <v>83</v>
      </c>
      <c r="C303" s="1" t="s">
        <v>68</v>
      </c>
      <c r="D303" s="1" t="s">
        <v>145</v>
      </c>
      <c r="E303" s="24" t="s">
        <v>19</v>
      </c>
      <c r="F303" s="1" t="s">
        <v>43</v>
      </c>
      <c r="G303" s="1" t="s">
        <v>146</v>
      </c>
      <c r="H303" s="3">
        <f t="shared" si="42"/>
        <v>6.6666666666666661</v>
      </c>
      <c r="I303" s="24" t="str">
        <f t="shared" si="35"/>
        <v>On Time</v>
      </c>
      <c r="J303" s="1" t="str">
        <f t="shared" si="36"/>
        <v>Half Day</v>
      </c>
      <c r="K303" s="1" t="str">
        <f t="shared" si="37"/>
        <v>Half Day</v>
      </c>
      <c r="L303" s="1" t="str">
        <f t="shared" si="38"/>
        <v>✓ Match</v>
      </c>
      <c r="M303" s="24" t="str">
        <f t="shared" si="39"/>
        <v>CLEAN</v>
      </c>
    </row>
    <row r="304" spans="1:13" ht="15" customHeight="1" x14ac:dyDescent="0.35">
      <c r="A304" s="1" t="s">
        <v>57</v>
      </c>
      <c r="B304" s="2" t="s">
        <v>58</v>
      </c>
      <c r="C304" s="1" t="s">
        <v>30</v>
      </c>
      <c r="D304" s="1" t="s">
        <v>145</v>
      </c>
      <c r="E304" s="24" t="s">
        <v>13</v>
      </c>
      <c r="F304" s="1" t="s">
        <v>14</v>
      </c>
      <c r="G304" s="1" t="s">
        <v>15</v>
      </c>
      <c r="H304" s="3">
        <v>0</v>
      </c>
      <c r="I304" s="24" t="str">
        <f t="shared" si="35"/>
        <v/>
      </c>
      <c r="J304" s="1" t="str">
        <f t="shared" si="36"/>
        <v>Absent</v>
      </c>
      <c r="K304" s="1" t="str">
        <f t="shared" si="37"/>
        <v>N/A</v>
      </c>
      <c r="L304" s="1" t="str">
        <f t="shared" si="38"/>
        <v>⚠ Mismatch</v>
      </c>
      <c r="M304" s="24" t="str">
        <f t="shared" si="39"/>
        <v>REVIEW</v>
      </c>
    </row>
    <row r="305" spans="1:13" ht="15" customHeight="1" x14ac:dyDescent="0.35">
      <c r="A305" s="1" t="s">
        <v>150</v>
      </c>
      <c r="B305" s="2" t="s">
        <v>151</v>
      </c>
      <c r="C305" s="1" t="s">
        <v>68</v>
      </c>
      <c r="D305" s="1" t="s">
        <v>145</v>
      </c>
      <c r="E305" s="24" t="s">
        <v>19</v>
      </c>
      <c r="F305" s="1" t="s">
        <v>64</v>
      </c>
      <c r="G305" s="1" t="s">
        <v>144</v>
      </c>
      <c r="H305" s="3">
        <f>IFERROR(MOD(TIMEVALUE(G305)-TIMEVALUE(F305),1)*24,0)</f>
        <v>8.4166666666666661</v>
      </c>
      <c r="I305" s="24" t="str">
        <f t="shared" si="35"/>
        <v>On Time</v>
      </c>
      <c r="J305" s="1" t="str">
        <f t="shared" si="36"/>
        <v>Full Day</v>
      </c>
      <c r="K305" s="1" t="str">
        <f t="shared" si="37"/>
        <v>Full Day</v>
      </c>
      <c r="L305" s="1" t="str">
        <f t="shared" si="38"/>
        <v>✓ Match</v>
      </c>
      <c r="M305" s="24" t="str">
        <f t="shared" si="39"/>
        <v>CLEAN</v>
      </c>
    </row>
    <row r="306" spans="1:13" ht="15" customHeight="1" x14ac:dyDescent="0.35">
      <c r="A306" s="1" t="s">
        <v>101</v>
      </c>
      <c r="B306" s="2" t="s">
        <v>102</v>
      </c>
      <c r="C306" s="1" t="s">
        <v>30</v>
      </c>
      <c r="D306" s="1" t="s">
        <v>145</v>
      </c>
      <c r="E306" s="24" t="s">
        <v>19</v>
      </c>
      <c r="F306" s="1" t="s">
        <v>122</v>
      </c>
      <c r="G306" s="1" t="s">
        <v>97</v>
      </c>
      <c r="H306" s="3">
        <f>IFERROR(MOD(TIMEVALUE(G306)-TIMEVALUE(F306),1)*24,0)</f>
        <v>10.916666666666666</v>
      </c>
      <c r="I306" s="24" t="str">
        <f t="shared" si="35"/>
        <v>Late</v>
      </c>
      <c r="J306" s="1" t="str">
        <f t="shared" si="36"/>
        <v>Full Day</v>
      </c>
      <c r="K306" s="1" t="str">
        <f t="shared" si="37"/>
        <v>Full Day</v>
      </c>
      <c r="L306" s="1" t="str">
        <f t="shared" si="38"/>
        <v>✓ Match</v>
      </c>
      <c r="M306" s="24" t="str">
        <f t="shared" si="39"/>
        <v>CLEAN</v>
      </c>
    </row>
    <row r="307" spans="1:13" ht="15" customHeight="1" x14ac:dyDescent="0.35">
      <c r="A307" s="1" t="s">
        <v>76</v>
      </c>
      <c r="B307" s="2" t="s">
        <v>77</v>
      </c>
      <c r="C307" s="1" t="s">
        <v>68</v>
      </c>
      <c r="D307" s="1" t="s">
        <v>145</v>
      </c>
      <c r="E307" s="24" t="s">
        <v>13</v>
      </c>
      <c r="F307" s="1" t="s">
        <v>14</v>
      </c>
      <c r="G307" s="1" t="s">
        <v>15</v>
      </c>
      <c r="H307" s="3">
        <v>0</v>
      </c>
      <c r="I307" s="24" t="str">
        <f t="shared" si="35"/>
        <v/>
      </c>
      <c r="J307" s="1" t="str">
        <f t="shared" si="36"/>
        <v>Absent</v>
      </c>
      <c r="K307" s="1" t="str">
        <f t="shared" si="37"/>
        <v>N/A</v>
      </c>
      <c r="L307" s="1" t="str">
        <f t="shared" si="38"/>
        <v>⚠ Mismatch</v>
      </c>
      <c r="M307" s="24" t="str">
        <f t="shared" si="39"/>
        <v>REVIEW</v>
      </c>
    </row>
    <row r="308" spans="1:13" ht="15" customHeight="1" x14ac:dyDescent="0.35">
      <c r="A308" s="1" t="s">
        <v>112</v>
      </c>
      <c r="B308" s="2" t="s">
        <v>113</v>
      </c>
      <c r="C308" s="1" t="s">
        <v>30</v>
      </c>
      <c r="D308" s="1" t="s">
        <v>145</v>
      </c>
      <c r="E308" s="24" t="s">
        <v>13</v>
      </c>
      <c r="F308" s="1" t="s">
        <v>14</v>
      </c>
      <c r="G308" s="1" t="s">
        <v>15</v>
      </c>
      <c r="H308" s="3">
        <v>0</v>
      </c>
      <c r="I308" s="24" t="str">
        <f t="shared" si="35"/>
        <v/>
      </c>
      <c r="J308" s="1" t="str">
        <f t="shared" si="36"/>
        <v>Absent</v>
      </c>
      <c r="K308" s="1" t="str">
        <f t="shared" si="37"/>
        <v>N/A</v>
      </c>
      <c r="L308" s="1" t="str">
        <f t="shared" si="38"/>
        <v>⚠ Mismatch</v>
      </c>
      <c r="M308" s="24" t="str">
        <f t="shared" si="39"/>
        <v>REVIEW</v>
      </c>
    </row>
    <row r="309" spans="1:13" ht="15" customHeight="1" x14ac:dyDescent="0.35">
      <c r="A309" s="1" t="s">
        <v>91</v>
      </c>
      <c r="B309" s="2" t="s">
        <v>92</v>
      </c>
      <c r="C309" s="1" t="s">
        <v>18</v>
      </c>
      <c r="D309" s="1" t="s">
        <v>145</v>
      </c>
      <c r="E309" s="24" t="s">
        <v>19</v>
      </c>
      <c r="F309" s="1" t="s">
        <v>75</v>
      </c>
      <c r="G309" s="1" t="s">
        <v>78</v>
      </c>
      <c r="H309" s="3">
        <f t="shared" ref="H309:H323" si="43">IFERROR(MOD(TIMEVALUE(G309)-TIMEVALUE(F309),1)*24,0)</f>
        <v>9.5</v>
      </c>
      <c r="I309" s="24" t="str">
        <f t="shared" si="35"/>
        <v>On Time</v>
      </c>
      <c r="J309" s="1" t="str">
        <f t="shared" si="36"/>
        <v>Full Day</v>
      </c>
      <c r="K309" s="1" t="str">
        <f t="shared" si="37"/>
        <v>Full Day</v>
      </c>
      <c r="L309" s="1" t="str">
        <f t="shared" si="38"/>
        <v>✓ Match</v>
      </c>
      <c r="M309" s="24" t="str">
        <f t="shared" si="39"/>
        <v>CLEAN</v>
      </c>
    </row>
    <row r="310" spans="1:13" ht="15" customHeight="1" x14ac:dyDescent="0.35">
      <c r="A310" s="1" t="s">
        <v>134</v>
      </c>
      <c r="B310" s="2" t="s">
        <v>135</v>
      </c>
      <c r="C310" s="1" t="s">
        <v>68</v>
      </c>
      <c r="D310" s="1" t="s">
        <v>145</v>
      </c>
      <c r="E310" s="24" t="s">
        <v>19</v>
      </c>
      <c r="F310" s="1" t="s">
        <v>129</v>
      </c>
      <c r="G310" s="1" t="s">
        <v>154</v>
      </c>
      <c r="H310" s="3">
        <f t="shared" si="43"/>
        <v>7.3333333333333313</v>
      </c>
      <c r="I310" s="24" t="str">
        <f t="shared" si="35"/>
        <v>On Time</v>
      </c>
      <c r="J310" s="1" t="str">
        <f t="shared" si="36"/>
        <v>Half Day</v>
      </c>
      <c r="K310" s="1" t="str">
        <f t="shared" si="37"/>
        <v>Half Day</v>
      </c>
      <c r="L310" s="1" t="str">
        <f t="shared" si="38"/>
        <v>✓ Match</v>
      </c>
      <c r="M310" s="24" t="str">
        <f t="shared" si="39"/>
        <v>CLEAN</v>
      </c>
    </row>
    <row r="311" spans="1:13" ht="15" customHeight="1" x14ac:dyDescent="0.35">
      <c r="A311" s="1" t="s">
        <v>98</v>
      </c>
      <c r="B311" s="2" t="s">
        <v>99</v>
      </c>
      <c r="C311" s="1" t="s">
        <v>18</v>
      </c>
      <c r="D311" s="1" t="s">
        <v>145</v>
      </c>
      <c r="E311" s="24" t="s">
        <v>19</v>
      </c>
      <c r="F311" s="1" t="s">
        <v>100</v>
      </c>
      <c r="G311" s="1" t="s">
        <v>65</v>
      </c>
      <c r="H311" s="3">
        <f t="shared" si="43"/>
        <v>10</v>
      </c>
      <c r="I311" s="24" t="str">
        <f t="shared" si="35"/>
        <v>On Time</v>
      </c>
      <c r="J311" s="1" t="str">
        <f t="shared" si="36"/>
        <v>Full Day</v>
      </c>
      <c r="K311" s="1" t="str">
        <f t="shared" si="37"/>
        <v>Full Day</v>
      </c>
      <c r="L311" s="1" t="str">
        <f t="shared" si="38"/>
        <v>✓ Match</v>
      </c>
      <c r="M311" s="24" t="str">
        <f t="shared" si="39"/>
        <v>CLEAN</v>
      </c>
    </row>
    <row r="312" spans="1:13" ht="15" customHeight="1" x14ac:dyDescent="0.35">
      <c r="A312" s="1" t="s">
        <v>53</v>
      </c>
      <c r="B312" s="2" t="s">
        <v>54</v>
      </c>
      <c r="C312" s="1" t="s">
        <v>18</v>
      </c>
      <c r="D312" s="1" t="s">
        <v>145</v>
      </c>
      <c r="E312" s="24" t="s">
        <v>19</v>
      </c>
      <c r="F312" s="1" t="s">
        <v>163</v>
      </c>
      <c r="G312" s="1" t="s">
        <v>115</v>
      </c>
      <c r="H312" s="3">
        <f t="shared" si="43"/>
        <v>7.6666666666666643</v>
      </c>
      <c r="I312" s="24" t="str">
        <f t="shared" si="35"/>
        <v>On Time</v>
      </c>
      <c r="J312" s="1" t="str">
        <f t="shared" si="36"/>
        <v>Half Day</v>
      </c>
      <c r="K312" s="1" t="str">
        <f t="shared" si="37"/>
        <v>Half Day</v>
      </c>
      <c r="L312" s="1" t="str">
        <f t="shared" si="38"/>
        <v>✓ Match</v>
      </c>
      <c r="M312" s="24" t="str">
        <f t="shared" si="39"/>
        <v>CLEAN</v>
      </c>
    </row>
    <row r="313" spans="1:13" ht="15" customHeight="1" x14ac:dyDescent="0.35">
      <c r="A313" s="1" t="s">
        <v>105</v>
      </c>
      <c r="B313" s="2" t="s">
        <v>106</v>
      </c>
      <c r="C313" s="1" t="s">
        <v>11</v>
      </c>
      <c r="D313" s="1" t="s">
        <v>145</v>
      </c>
      <c r="E313" s="24" t="s">
        <v>37</v>
      </c>
      <c r="F313" s="1" t="s">
        <v>43</v>
      </c>
      <c r="G313" s="1" t="s">
        <v>119</v>
      </c>
      <c r="H313" s="3">
        <f t="shared" si="43"/>
        <v>6.5</v>
      </c>
      <c r="I313" s="24" t="str">
        <f t="shared" si="35"/>
        <v>On Time</v>
      </c>
      <c r="J313" s="1" t="str">
        <f t="shared" si="36"/>
        <v>Half Day</v>
      </c>
      <c r="K313" s="1" t="str">
        <f t="shared" si="37"/>
        <v>Half Day</v>
      </c>
      <c r="L313" s="1" t="str">
        <f t="shared" si="38"/>
        <v>✓ Match</v>
      </c>
      <c r="M313" s="24" t="str">
        <f t="shared" si="39"/>
        <v>CLEAN</v>
      </c>
    </row>
    <row r="314" spans="1:13" ht="15" customHeight="1" x14ac:dyDescent="0.35">
      <c r="A314" s="1" t="s">
        <v>28</v>
      </c>
      <c r="B314" s="2" t="s">
        <v>29</v>
      </c>
      <c r="C314" s="1" t="s">
        <v>30</v>
      </c>
      <c r="D314" s="1" t="s">
        <v>145</v>
      </c>
      <c r="E314" s="24" t="s">
        <v>19</v>
      </c>
      <c r="F314" s="1" t="s">
        <v>140</v>
      </c>
      <c r="G314" s="1" t="s">
        <v>109</v>
      </c>
      <c r="H314" s="3">
        <f t="shared" si="43"/>
        <v>7.5</v>
      </c>
      <c r="I314" s="24" t="str">
        <f t="shared" si="35"/>
        <v>Late</v>
      </c>
      <c r="J314" s="1" t="str">
        <f t="shared" si="36"/>
        <v>Half Day</v>
      </c>
      <c r="K314" s="1" t="str">
        <f t="shared" si="37"/>
        <v>Half Day</v>
      </c>
      <c r="L314" s="1" t="str">
        <f t="shared" si="38"/>
        <v>✓ Match</v>
      </c>
      <c r="M314" s="24" t="str">
        <f t="shared" si="39"/>
        <v>CLEAN</v>
      </c>
    </row>
    <row r="315" spans="1:13" ht="15" customHeight="1" x14ac:dyDescent="0.35">
      <c r="A315" s="1" t="s">
        <v>95</v>
      </c>
      <c r="B315" s="2" t="s">
        <v>96</v>
      </c>
      <c r="C315" s="1" t="s">
        <v>68</v>
      </c>
      <c r="D315" s="1" t="s">
        <v>145</v>
      </c>
      <c r="E315" s="24" t="s">
        <v>19</v>
      </c>
      <c r="F315" s="1" t="s">
        <v>87</v>
      </c>
      <c r="G315" s="1" t="s">
        <v>97</v>
      </c>
      <c r="H315" s="3">
        <f t="shared" si="43"/>
        <v>9.25</v>
      </c>
      <c r="I315" s="24" t="str">
        <f t="shared" si="35"/>
        <v>Late</v>
      </c>
      <c r="J315" s="1" t="str">
        <f t="shared" si="36"/>
        <v>Full Day</v>
      </c>
      <c r="K315" s="1" t="str">
        <f t="shared" si="37"/>
        <v>Full Day</v>
      </c>
      <c r="L315" s="1" t="str">
        <f t="shared" si="38"/>
        <v>✓ Match</v>
      </c>
      <c r="M315" s="24" t="str">
        <f t="shared" si="39"/>
        <v>CLEAN</v>
      </c>
    </row>
    <row r="316" spans="1:13" ht="15" customHeight="1" x14ac:dyDescent="0.35">
      <c r="A316" s="1" t="s">
        <v>66</v>
      </c>
      <c r="B316" s="2" t="s">
        <v>67</v>
      </c>
      <c r="C316" s="1" t="s">
        <v>68</v>
      </c>
      <c r="D316" s="1" t="s">
        <v>145</v>
      </c>
      <c r="E316" s="24" t="s">
        <v>19</v>
      </c>
      <c r="F316" s="1" t="s">
        <v>152</v>
      </c>
      <c r="G316" s="1" t="s">
        <v>127</v>
      </c>
      <c r="H316" s="3">
        <f t="shared" si="43"/>
        <v>7.8333333333333321</v>
      </c>
      <c r="I316" s="24" t="str">
        <f t="shared" si="35"/>
        <v>Late</v>
      </c>
      <c r="J316" s="1" t="str">
        <f t="shared" si="36"/>
        <v>Half Day</v>
      </c>
      <c r="K316" s="1" t="str">
        <f t="shared" si="37"/>
        <v>Half Day</v>
      </c>
      <c r="L316" s="1" t="str">
        <f t="shared" si="38"/>
        <v>✓ Match</v>
      </c>
      <c r="M316" s="24" t="str">
        <f t="shared" si="39"/>
        <v>CLEAN</v>
      </c>
    </row>
    <row r="317" spans="1:13" ht="15" customHeight="1" x14ac:dyDescent="0.35">
      <c r="A317" s="1" t="s">
        <v>124</v>
      </c>
      <c r="B317" s="2" t="s">
        <v>125</v>
      </c>
      <c r="C317" s="1" t="s">
        <v>68</v>
      </c>
      <c r="D317" s="1" t="s">
        <v>145</v>
      </c>
      <c r="E317" s="24" t="s">
        <v>37</v>
      </c>
      <c r="F317" s="1" t="s">
        <v>128</v>
      </c>
      <c r="G317" s="1" t="s">
        <v>65</v>
      </c>
      <c r="H317" s="3">
        <f t="shared" si="43"/>
        <v>8.5</v>
      </c>
      <c r="I317" s="24" t="str">
        <f t="shared" si="35"/>
        <v>Late</v>
      </c>
      <c r="J317" s="1" t="str">
        <f t="shared" si="36"/>
        <v>Full Day</v>
      </c>
      <c r="K317" s="1" t="str">
        <f t="shared" si="37"/>
        <v>Full Day</v>
      </c>
      <c r="L317" s="1" t="str">
        <f t="shared" si="38"/>
        <v>✓ Match</v>
      </c>
      <c r="M317" s="24" t="str">
        <f t="shared" si="39"/>
        <v>CLEAN</v>
      </c>
    </row>
    <row r="318" spans="1:13" ht="15" customHeight="1" x14ac:dyDescent="0.35">
      <c r="A318" s="1" t="s">
        <v>79</v>
      </c>
      <c r="B318" s="2" t="s">
        <v>80</v>
      </c>
      <c r="C318" s="1" t="s">
        <v>18</v>
      </c>
      <c r="D318" s="1" t="s">
        <v>145</v>
      </c>
      <c r="E318" s="24" t="s">
        <v>19</v>
      </c>
      <c r="F318" s="1" t="s">
        <v>122</v>
      </c>
      <c r="G318" s="1" t="s">
        <v>115</v>
      </c>
      <c r="H318" s="3">
        <f t="shared" si="43"/>
        <v>6.6666666666666661</v>
      </c>
      <c r="I318" s="24" t="str">
        <f t="shared" si="35"/>
        <v>Late</v>
      </c>
      <c r="J318" s="1" t="str">
        <f t="shared" si="36"/>
        <v>Half Day</v>
      </c>
      <c r="K318" s="1" t="str">
        <f t="shared" si="37"/>
        <v>Half Day</v>
      </c>
      <c r="L318" s="1" t="str">
        <f t="shared" si="38"/>
        <v>✓ Match</v>
      </c>
      <c r="M318" s="24" t="str">
        <f t="shared" si="39"/>
        <v>CLEAN</v>
      </c>
    </row>
    <row r="319" spans="1:13" ht="15" customHeight="1" x14ac:dyDescent="0.35">
      <c r="A319" s="1" t="s">
        <v>158</v>
      </c>
      <c r="B319" s="2" t="s">
        <v>159</v>
      </c>
      <c r="C319" s="1" t="s">
        <v>11</v>
      </c>
      <c r="D319" s="1" t="s">
        <v>145</v>
      </c>
      <c r="E319" s="24" t="s">
        <v>37</v>
      </c>
      <c r="F319" s="1" t="s">
        <v>140</v>
      </c>
      <c r="G319" s="1" t="s">
        <v>21</v>
      </c>
      <c r="H319" s="3">
        <f t="shared" si="43"/>
        <v>9.75</v>
      </c>
      <c r="I319" s="24" t="str">
        <f t="shared" si="35"/>
        <v>Late</v>
      </c>
      <c r="J319" s="1" t="str">
        <f t="shared" si="36"/>
        <v>Full Day</v>
      </c>
      <c r="K319" s="1" t="str">
        <f t="shared" si="37"/>
        <v>Full Day</v>
      </c>
      <c r="L319" s="1" t="str">
        <f t="shared" si="38"/>
        <v>✓ Match</v>
      </c>
      <c r="M319" s="24" t="str">
        <f t="shared" si="39"/>
        <v>CLEAN</v>
      </c>
    </row>
    <row r="320" spans="1:13" ht="15" customHeight="1" x14ac:dyDescent="0.35">
      <c r="A320" s="1" t="s">
        <v>47</v>
      </c>
      <c r="B320" s="2" t="s">
        <v>48</v>
      </c>
      <c r="C320" s="1" t="s">
        <v>18</v>
      </c>
      <c r="D320" s="1" t="s">
        <v>145</v>
      </c>
      <c r="E320" s="24" t="s">
        <v>19</v>
      </c>
      <c r="F320" s="1" t="s">
        <v>64</v>
      </c>
      <c r="G320" s="1" t="s">
        <v>153</v>
      </c>
      <c r="H320" s="3">
        <f t="shared" si="43"/>
        <v>12.25</v>
      </c>
      <c r="I320" s="24" t="str">
        <f t="shared" si="35"/>
        <v>On Time</v>
      </c>
      <c r="J320" s="1" t="str">
        <f t="shared" si="36"/>
        <v>Full Day</v>
      </c>
      <c r="K320" s="1" t="str">
        <f t="shared" si="37"/>
        <v>Full Day</v>
      </c>
      <c r="L320" s="1" t="str">
        <f t="shared" si="38"/>
        <v>✓ Match</v>
      </c>
      <c r="M320" s="24" t="str">
        <f t="shared" si="39"/>
        <v>CLEAN</v>
      </c>
    </row>
    <row r="321" spans="1:13" ht="15" customHeight="1" x14ac:dyDescent="0.35">
      <c r="A321" s="1" t="s">
        <v>22</v>
      </c>
      <c r="B321" s="2" t="s">
        <v>23</v>
      </c>
      <c r="C321" s="1" t="s">
        <v>24</v>
      </c>
      <c r="D321" s="1" t="s">
        <v>145</v>
      </c>
      <c r="E321" s="24" t="s">
        <v>19</v>
      </c>
      <c r="F321" s="1" t="s">
        <v>43</v>
      </c>
      <c r="G321" s="1" t="s">
        <v>65</v>
      </c>
      <c r="H321" s="3">
        <f t="shared" si="43"/>
        <v>9.5</v>
      </c>
      <c r="I321" s="24" t="str">
        <f t="shared" si="35"/>
        <v>On Time</v>
      </c>
      <c r="J321" s="1" t="str">
        <f t="shared" si="36"/>
        <v>Full Day</v>
      </c>
      <c r="K321" s="1" t="str">
        <f t="shared" si="37"/>
        <v>Full Day</v>
      </c>
      <c r="L321" s="1" t="str">
        <f t="shared" si="38"/>
        <v>✓ Match</v>
      </c>
      <c r="M321" s="24" t="str">
        <f t="shared" si="39"/>
        <v>CLEAN</v>
      </c>
    </row>
    <row r="322" spans="1:13" ht="15" customHeight="1" x14ac:dyDescent="0.35">
      <c r="A322" s="1" t="s">
        <v>45</v>
      </c>
      <c r="B322" s="2" t="s">
        <v>46</v>
      </c>
      <c r="C322" s="1" t="s">
        <v>18</v>
      </c>
      <c r="D322" s="1" t="s">
        <v>145</v>
      </c>
      <c r="E322" s="24" t="s">
        <v>19</v>
      </c>
      <c r="F322" s="1" t="s">
        <v>43</v>
      </c>
      <c r="G322" s="1" t="s">
        <v>168</v>
      </c>
      <c r="H322" s="3">
        <f t="shared" si="43"/>
        <v>7.25</v>
      </c>
      <c r="I322" s="24" t="str">
        <f t="shared" si="35"/>
        <v>On Time</v>
      </c>
      <c r="J322" s="1" t="str">
        <f t="shared" si="36"/>
        <v>Half Day</v>
      </c>
      <c r="K322" s="1" t="str">
        <f t="shared" si="37"/>
        <v>Half Day</v>
      </c>
      <c r="L322" s="1" t="str">
        <f t="shared" si="38"/>
        <v>✓ Match</v>
      </c>
      <c r="M322" s="24" t="str">
        <f t="shared" si="39"/>
        <v>CLEAN</v>
      </c>
    </row>
    <row r="323" spans="1:13" ht="15" customHeight="1" x14ac:dyDescent="0.35">
      <c r="A323" s="1" t="s">
        <v>117</v>
      </c>
      <c r="B323" s="2" t="s">
        <v>118</v>
      </c>
      <c r="C323" s="1" t="s">
        <v>30</v>
      </c>
      <c r="D323" s="1" t="s">
        <v>145</v>
      </c>
      <c r="E323" s="24" t="s">
        <v>19</v>
      </c>
      <c r="F323" s="1" t="s">
        <v>26</v>
      </c>
      <c r="G323" s="1" t="s">
        <v>97</v>
      </c>
      <c r="H323" s="3">
        <f t="shared" si="43"/>
        <v>10.166666666666666</v>
      </c>
      <c r="I323" s="24" t="str">
        <f t="shared" ref="I323:I386" si="44">IF(F323="No Login","",IF(TIMEVALUE(F323)&gt;TIMEVALUE("09:00"),"Late","On Time"))</f>
        <v>Late</v>
      </c>
      <c r="J323" s="1" t="str">
        <f t="shared" ref="J323:J386" si="45">IF(E323="Absent","Absent",IF(H323&gt;=8,"Full Day",IF(H323&gt;=4,"Half Day","Short")))</f>
        <v>Full Day</v>
      </c>
      <c r="K323" s="1" t="str">
        <f t="shared" ref="K323:K386" si="46">IF(E323="Absent","N/A",IF(H323&gt;=8,"Full Day",IF(H323&gt;=4,"Half Day","Short")))</f>
        <v>Full Day</v>
      </c>
      <c r="L323" s="1" t="str">
        <f t="shared" ref="L323:L386" si="47">IF(J323=K323,"✓ Match","⚠ Mismatch")</f>
        <v>✓ Match</v>
      </c>
      <c r="M323" s="24" t="str">
        <f t="shared" ref="M323:M386" si="48">IF(AND(J323=K323,OR(E323="Present",E323="Work From Home",E323="Absent")),"CLEAN","REVIEW")</f>
        <v>CLEAN</v>
      </c>
    </row>
    <row r="324" spans="1:13" ht="15" customHeight="1" x14ac:dyDescent="0.35">
      <c r="A324" s="1" t="s">
        <v>72</v>
      </c>
      <c r="B324" s="2" t="s">
        <v>73</v>
      </c>
      <c r="C324" s="1" t="s">
        <v>68</v>
      </c>
      <c r="D324" s="1" t="s">
        <v>145</v>
      </c>
      <c r="E324" s="24" t="s">
        <v>13</v>
      </c>
      <c r="F324" s="1" t="s">
        <v>14</v>
      </c>
      <c r="G324" s="1" t="s">
        <v>15</v>
      </c>
      <c r="H324" s="3">
        <v>0</v>
      </c>
      <c r="I324" s="24" t="str">
        <f t="shared" si="44"/>
        <v/>
      </c>
      <c r="J324" s="1" t="str">
        <f t="shared" si="45"/>
        <v>Absent</v>
      </c>
      <c r="K324" s="1" t="str">
        <f t="shared" si="46"/>
        <v>N/A</v>
      </c>
      <c r="L324" s="1" t="str">
        <f t="shared" si="47"/>
        <v>⚠ Mismatch</v>
      </c>
      <c r="M324" s="24" t="str">
        <f t="shared" si="48"/>
        <v>REVIEW</v>
      </c>
    </row>
    <row r="325" spans="1:13" ht="15" customHeight="1" x14ac:dyDescent="0.35">
      <c r="A325" s="1" t="s">
        <v>40</v>
      </c>
      <c r="B325" s="2" t="s">
        <v>41</v>
      </c>
      <c r="C325" s="1" t="s">
        <v>24</v>
      </c>
      <c r="D325" s="1" t="s">
        <v>145</v>
      </c>
      <c r="E325" s="24" t="s">
        <v>19</v>
      </c>
      <c r="F325" s="1" t="s">
        <v>70</v>
      </c>
      <c r="G325" s="1" t="s">
        <v>108</v>
      </c>
      <c r="H325" s="3">
        <f t="shared" ref="H325:H331" si="49">IFERROR(MOD(TIMEVALUE(G325)-TIMEVALUE(F325),1)*24,0)</f>
        <v>9.7499999999999982</v>
      </c>
      <c r="I325" s="24" t="str">
        <f t="shared" si="44"/>
        <v>Late</v>
      </c>
      <c r="J325" s="1" t="str">
        <f t="shared" si="45"/>
        <v>Full Day</v>
      </c>
      <c r="K325" s="1" t="str">
        <f t="shared" si="46"/>
        <v>Full Day</v>
      </c>
      <c r="L325" s="1" t="str">
        <f t="shared" si="47"/>
        <v>✓ Match</v>
      </c>
      <c r="M325" s="24" t="str">
        <f t="shared" si="48"/>
        <v>CLEAN</v>
      </c>
    </row>
    <row r="326" spans="1:13" ht="15" customHeight="1" x14ac:dyDescent="0.35">
      <c r="A326" s="1" t="s">
        <v>16</v>
      </c>
      <c r="B326" s="2" t="s">
        <v>17</v>
      </c>
      <c r="C326" s="1" t="s">
        <v>18</v>
      </c>
      <c r="D326" s="1" t="s">
        <v>145</v>
      </c>
      <c r="E326" s="24" t="s">
        <v>19</v>
      </c>
      <c r="F326" s="1" t="s">
        <v>32</v>
      </c>
      <c r="G326" s="1" t="s">
        <v>127</v>
      </c>
      <c r="H326" s="3">
        <f t="shared" si="49"/>
        <v>10.166666666666666</v>
      </c>
      <c r="I326" s="24" t="str">
        <f t="shared" si="44"/>
        <v>On Time</v>
      </c>
      <c r="J326" s="1" t="str">
        <f t="shared" si="45"/>
        <v>Full Day</v>
      </c>
      <c r="K326" s="1" t="str">
        <f t="shared" si="46"/>
        <v>Full Day</v>
      </c>
      <c r="L326" s="1" t="str">
        <f t="shared" si="47"/>
        <v>✓ Match</v>
      </c>
      <c r="M326" s="24" t="str">
        <f t="shared" si="48"/>
        <v>CLEAN</v>
      </c>
    </row>
    <row r="327" spans="1:13" ht="15" customHeight="1" x14ac:dyDescent="0.35">
      <c r="A327" s="1" t="s">
        <v>142</v>
      </c>
      <c r="B327" s="2" t="s">
        <v>143</v>
      </c>
      <c r="C327" s="1" t="s">
        <v>18</v>
      </c>
      <c r="D327" s="1" t="s">
        <v>145</v>
      </c>
      <c r="E327" s="24" t="s">
        <v>19</v>
      </c>
      <c r="F327" s="1" t="s">
        <v>160</v>
      </c>
      <c r="G327" s="1" t="s">
        <v>90</v>
      </c>
      <c r="H327" s="3">
        <f t="shared" si="49"/>
        <v>8.5</v>
      </c>
      <c r="I327" s="24" t="str">
        <f t="shared" si="44"/>
        <v>Late</v>
      </c>
      <c r="J327" s="1" t="str">
        <f t="shared" si="45"/>
        <v>Full Day</v>
      </c>
      <c r="K327" s="1" t="str">
        <f t="shared" si="46"/>
        <v>Full Day</v>
      </c>
      <c r="L327" s="1" t="str">
        <f t="shared" si="47"/>
        <v>✓ Match</v>
      </c>
      <c r="M327" s="24" t="str">
        <f t="shared" si="48"/>
        <v>CLEAN</v>
      </c>
    </row>
    <row r="328" spans="1:13" ht="15" customHeight="1" x14ac:dyDescent="0.35">
      <c r="A328" s="1" t="s">
        <v>130</v>
      </c>
      <c r="B328" s="2" t="s">
        <v>131</v>
      </c>
      <c r="C328" s="1" t="s">
        <v>11</v>
      </c>
      <c r="D328" s="1" t="s">
        <v>145</v>
      </c>
      <c r="E328" s="24" t="s">
        <v>19</v>
      </c>
      <c r="F328" s="1" t="s">
        <v>56</v>
      </c>
      <c r="G328" s="1" t="s">
        <v>97</v>
      </c>
      <c r="H328" s="3">
        <f t="shared" si="49"/>
        <v>10</v>
      </c>
      <c r="I328" s="24" t="str">
        <f t="shared" si="44"/>
        <v>Late</v>
      </c>
      <c r="J328" s="1" t="str">
        <f t="shared" si="45"/>
        <v>Full Day</v>
      </c>
      <c r="K328" s="1" t="str">
        <f t="shared" si="46"/>
        <v>Full Day</v>
      </c>
      <c r="L328" s="1" t="str">
        <f t="shared" si="47"/>
        <v>✓ Match</v>
      </c>
      <c r="M328" s="24" t="str">
        <f t="shared" si="48"/>
        <v>CLEAN</v>
      </c>
    </row>
    <row r="329" spans="1:13" ht="15" customHeight="1" x14ac:dyDescent="0.35">
      <c r="A329" s="1" t="s">
        <v>110</v>
      </c>
      <c r="B329" s="2" t="s">
        <v>111</v>
      </c>
      <c r="C329" s="1" t="s">
        <v>68</v>
      </c>
      <c r="D329" s="1" t="s">
        <v>145</v>
      </c>
      <c r="E329" s="24" t="s">
        <v>19</v>
      </c>
      <c r="F329" s="1" t="s">
        <v>163</v>
      </c>
      <c r="G329" s="1" t="s">
        <v>144</v>
      </c>
      <c r="H329" s="3">
        <f t="shared" si="49"/>
        <v>8.1666666666666661</v>
      </c>
      <c r="I329" s="24" t="str">
        <f t="shared" si="44"/>
        <v>On Time</v>
      </c>
      <c r="J329" s="1" t="str">
        <f t="shared" si="45"/>
        <v>Full Day</v>
      </c>
      <c r="K329" s="1" t="str">
        <f t="shared" si="46"/>
        <v>Full Day</v>
      </c>
      <c r="L329" s="1" t="str">
        <f t="shared" si="47"/>
        <v>✓ Match</v>
      </c>
      <c r="M329" s="24" t="str">
        <f t="shared" si="48"/>
        <v>CLEAN</v>
      </c>
    </row>
    <row r="330" spans="1:13" ht="15" customHeight="1" x14ac:dyDescent="0.35">
      <c r="A330" s="1" t="s">
        <v>120</v>
      </c>
      <c r="B330" s="2" t="s">
        <v>121</v>
      </c>
      <c r="C330" s="1" t="s">
        <v>11</v>
      </c>
      <c r="D330" s="1" t="s">
        <v>145</v>
      </c>
      <c r="E330" s="24" t="s">
        <v>19</v>
      </c>
      <c r="F330" s="1" t="s">
        <v>138</v>
      </c>
      <c r="G330" s="1" t="s">
        <v>21</v>
      </c>
      <c r="H330" s="3">
        <f t="shared" si="49"/>
        <v>10.333333333333334</v>
      </c>
      <c r="I330" s="24" t="str">
        <f t="shared" si="44"/>
        <v>Late</v>
      </c>
      <c r="J330" s="1" t="str">
        <f t="shared" si="45"/>
        <v>Full Day</v>
      </c>
      <c r="K330" s="1" t="str">
        <f t="shared" si="46"/>
        <v>Full Day</v>
      </c>
      <c r="L330" s="1" t="str">
        <f t="shared" si="47"/>
        <v>✓ Match</v>
      </c>
      <c r="M330" s="24" t="str">
        <f t="shared" si="48"/>
        <v>CLEAN</v>
      </c>
    </row>
    <row r="331" spans="1:13" ht="15" customHeight="1" x14ac:dyDescent="0.35">
      <c r="A331" s="1" t="s">
        <v>61</v>
      </c>
      <c r="B331" s="2" t="s">
        <v>62</v>
      </c>
      <c r="C331" s="1" t="s">
        <v>11</v>
      </c>
      <c r="D331" s="1" t="s">
        <v>145</v>
      </c>
      <c r="E331" s="24" t="s">
        <v>19</v>
      </c>
      <c r="F331" s="1" t="s">
        <v>137</v>
      </c>
      <c r="G331" s="1" t="s">
        <v>65</v>
      </c>
      <c r="H331" s="3">
        <f t="shared" si="49"/>
        <v>8.9166666666666661</v>
      </c>
      <c r="I331" s="24" t="str">
        <f t="shared" si="44"/>
        <v>Late</v>
      </c>
      <c r="J331" s="1" t="str">
        <f t="shared" si="45"/>
        <v>Full Day</v>
      </c>
      <c r="K331" s="1" t="str">
        <f t="shared" si="46"/>
        <v>Full Day</v>
      </c>
      <c r="L331" s="1" t="str">
        <f t="shared" si="47"/>
        <v>✓ Match</v>
      </c>
      <c r="M331" s="24" t="str">
        <f t="shared" si="48"/>
        <v>CLEAN</v>
      </c>
    </row>
    <row r="332" spans="1:13" ht="15" customHeight="1" x14ac:dyDescent="0.35">
      <c r="A332" s="1" t="s">
        <v>9</v>
      </c>
      <c r="B332" s="2" t="s">
        <v>10</v>
      </c>
      <c r="C332" s="1" t="s">
        <v>11</v>
      </c>
      <c r="D332" s="1" t="s">
        <v>145</v>
      </c>
      <c r="E332" s="24" t="s">
        <v>13</v>
      </c>
      <c r="F332" s="1" t="s">
        <v>14</v>
      </c>
      <c r="G332" s="1" t="s">
        <v>15</v>
      </c>
      <c r="H332" s="3">
        <v>0</v>
      </c>
      <c r="I332" s="24" t="str">
        <f t="shared" si="44"/>
        <v/>
      </c>
      <c r="J332" s="1" t="str">
        <f t="shared" si="45"/>
        <v>Absent</v>
      </c>
      <c r="K332" s="1" t="str">
        <f t="shared" si="46"/>
        <v>N/A</v>
      </c>
      <c r="L332" s="1" t="str">
        <f t="shared" si="47"/>
        <v>⚠ Mismatch</v>
      </c>
      <c r="M332" s="24" t="str">
        <f t="shared" si="48"/>
        <v>REVIEW</v>
      </c>
    </row>
    <row r="333" spans="1:13" ht="15" customHeight="1" x14ac:dyDescent="0.35">
      <c r="A333" s="1" t="s">
        <v>47</v>
      </c>
      <c r="B333" s="2" t="s">
        <v>48</v>
      </c>
      <c r="C333" s="1" t="s">
        <v>18</v>
      </c>
      <c r="D333" s="1" t="s">
        <v>51</v>
      </c>
      <c r="E333" s="24" t="s">
        <v>13</v>
      </c>
      <c r="F333" s="1" t="s">
        <v>14</v>
      </c>
      <c r="G333" s="1" t="s">
        <v>15</v>
      </c>
      <c r="H333" s="3">
        <v>0</v>
      </c>
      <c r="I333" s="24" t="str">
        <f t="shared" si="44"/>
        <v/>
      </c>
      <c r="J333" s="1" t="str">
        <f t="shared" si="45"/>
        <v>Absent</v>
      </c>
      <c r="K333" s="1" t="str">
        <f t="shared" si="46"/>
        <v>N/A</v>
      </c>
      <c r="L333" s="1" t="str">
        <f t="shared" si="47"/>
        <v>⚠ Mismatch</v>
      </c>
      <c r="M333" s="24" t="str">
        <f t="shared" si="48"/>
        <v>REVIEW</v>
      </c>
    </row>
    <row r="334" spans="1:13" ht="15" customHeight="1" x14ac:dyDescent="0.35">
      <c r="A334" s="1" t="s">
        <v>9</v>
      </c>
      <c r="B334" s="2" t="s">
        <v>10</v>
      </c>
      <c r="C334" s="1" t="s">
        <v>11</v>
      </c>
      <c r="D334" s="1" t="s">
        <v>51</v>
      </c>
      <c r="E334" s="24" t="s">
        <v>19</v>
      </c>
      <c r="F334" s="1" t="s">
        <v>75</v>
      </c>
      <c r="G334" s="1" t="s">
        <v>115</v>
      </c>
      <c r="H334" s="3">
        <f>IFERROR(MOD(TIMEVALUE(G334)-TIMEVALUE(F334),1)*24,0)</f>
        <v>7.7499999999999991</v>
      </c>
      <c r="I334" s="24" t="str">
        <f t="shared" si="44"/>
        <v>On Time</v>
      </c>
      <c r="J334" s="1" t="str">
        <f t="shared" si="45"/>
        <v>Half Day</v>
      </c>
      <c r="K334" s="1" t="str">
        <f t="shared" si="46"/>
        <v>Half Day</v>
      </c>
      <c r="L334" s="1" t="str">
        <f t="shared" si="47"/>
        <v>✓ Match</v>
      </c>
      <c r="M334" s="24" t="str">
        <f t="shared" si="48"/>
        <v>CLEAN</v>
      </c>
    </row>
    <row r="335" spans="1:13" ht="15" customHeight="1" x14ac:dyDescent="0.35">
      <c r="A335" s="1" t="s">
        <v>117</v>
      </c>
      <c r="B335" s="2" t="s">
        <v>118</v>
      </c>
      <c r="C335" s="1" t="s">
        <v>30</v>
      </c>
      <c r="D335" s="1" t="s">
        <v>51</v>
      </c>
      <c r="E335" s="24" t="s">
        <v>19</v>
      </c>
      <c r="F335" s="1" t="s">
        <v>43</v>
      </c>
      <c r="G335" s="1" t="s">
        <v>119</v>
      </c>
      <c r="H335" s="3">
        <f>IFERROR(MOD(TIMEVALUE(G335)-TIMEVALUE(F335),1)*24,0)</f>
        <v>6.5</v>
      </c>
      <c r="I335" s="24" t="str">
        <f t="shared" si="44"/>
        <v>On Time</v>
      </c>
      <c r="J335" s="1" t="str">
        <f t="shared" si="45"/>
        <v>Half Day</v>
      </c>
      <c r="K335" s="1" t="str">
        <f t="shared" si="46"/>
        <v>Half Day</v>
      </c>
      <c r="L335" s="1" t="str">
        <f t="shared" si="47"/>
        <v>✓ Match</v>
      </c>
      <c r="M335" s="24" t="str">
        <f t="shared" si="48"/>
        <v>CLEAN</v>
      </c>
    </row>
    <row r="336" spans="1:13" ht="15" customHeight="1" x14ac:dyDescent="0.35">
      <c r="A336" s="1" t="s">
        <v>91</v>
      </c>
      <c r="B336" s="2" t="s">
        <v>92</v>
      </c>
      <c r="C336" s="1" t="s">
        <v>18</v>
      </c>
      <c r="D336" s="1" t="s">
        <v>51</v>
      </c>
      <c r="E336" s="24" t="s">
        <v>19</v>
      </c>
      <c r="F336" s="1" t="s">
        <v>129</v>
      </c>
      <c r="G336" s="1" t="s">
        <v>65</v>
      </c>
      <c r="H336" s="3">
        <f>IFERROR(MOD(TIMEVALUE(G336)-TIMEVALUE(F336),1)*24,0)</f>
        <v>9</v>
      </c>
      <c r="I336" s="24" t="str">
        <f t="shared" si="44"/>
        <v>On Time</v>
      </c>
      <c r="J336" s="1" t="str">
        <f t="shared" si="45"/>
        <v>Full Day</v>
      </c>
      <c r="K336" s="1" t="str">
        <f t="shared" si="46"/>
        <v>Full Day</v>
      </c>
      <c r="L336" s="1" t="str">
        <f t="shared" si="47"/>
        <v>✓ Match</v>
      </c>
      <c r="M336" s="24" t="str">
        <f t="shared" si="48"/>
        <v>CLEAN</v>
      </c>
    </row>
    <row r="337" spans="1:13" ht="15" customHeight="1" x14ac:dyDescent="0.35">
      <c r="A337" s="1" t="s">
        <v>101</v>
      </c>
      <c r="B337" s="2" t="s">
        <v>102</v>
      </c>
      <c r="C337" s="1" t="s">
        <v>30</v>
      </c>
      <c r="D337" s="1" t="s">
        <v>51</v>
      </c>
      <c r="E337" s="24" t="s">
        <v>37</v>
      </c>
      <c r="F337" s="1" t="s">
        <v>64</v>
      </c>
      <c r="G337" s="1" t="s">
        <v>155</v>
      </c>
      <c r="H337" s="3">
        <f>IFERROR(MOD(TIMEVALUE(G337)-TIMEVALUE(F337),1)*24,0)</f>
        <v>9.0833333333333321</v>
      </c>
      <c r="I337" s="24" t="str">
        <f t="shared" si="44"/>
        <v>On Time</v>
      </c>
      <c r="J337" s="1" t="str">
        <f t="shared" si="45"/>
        <v>Full Day</v>
      </c>
      <c r="K337" s="1" t="str">
        <f t="shared" si="46"/>
        <v>Full Day</v>
      </c>
      <c r="L337" s="1" t="str">
        <f t="shared" si="47"/>
        <v>✓ Match</v>
      </c>
      <c r="M337" s="24" t="str">
        <f t="shared" si="48"/>
        <v>CLEAN</v>
      </c>
    </row>
    <row r="338" spans="1:13" ht="15" customHeight="1" x14ac:dyDescent="0.35">
      <c r="A338" s="1" t="s">
        <v>112</v>
      </c>
      <c r="B338" s="2" t="s">
        <v>113</v>
      </c>
      <c r="C338" s="1" t="s">
        <v>30</v>
      </c>
      <c r="D338" s="1" t="s">
        <v>51</v>
      </c>
      <c r="E338" s="24" t="s">
        <v>19</v>
      </c>
      <c r="F338" s="1" t="s">
        <v>122</v>
      </c>
      <c r="G338" s="1" t="s">
        <v>108</v>
      </c>
      <c r="H338" s="3">
        <f>IFERROR(MOD(TIMEVALUE(G338)-TIMEVALUE(F338),1)*24,0)</f>
        <v>11.166666666666666</v>
      </c>
      <c r="I338" s="24" t="str">
        <f t="shared" si="44"/>
        <v>Late</v>
      </c>
      <c r="J338" s="1" t="str">
        <f t="shared" si="45"/>
        <v>Full Day</v>
      </c>
      <c r="K338" s="1" t="str">
        <f t="shared" si="46"/>
        <v>Full Day</v>
      </c>
      <c r="L338" s="1" t="str">
        <f t="shared" si="47"/>
        <v>✓ Match</v>
      </c>
      <c r="M338" s="24" t="str">
        <f t="shared" si="48"/>
        <v>CLEAN</v>
      </c>
    </row>
    <row r="339" spans="1:13" ht="15" customHeight="1" x14ac:dyDescent="0.35">
      <c r="A339" s="1" t="s">
        <v>61</v>
      </c>
      <c r="B339" s="2" t="s">
        <v>62</v>
      </c>
      <c r="C339" s="1" t="s">
        <v>11</v>
      </c>
      <c r="D339" s="1" t="s">
        <v>51</v>
      </c>
      <c r="E339" s="24" t="s">
        <v>13</v>
      </c>
      <c r="F339" s="1" t="s">
        <v>14</v>
      </c>
      <c r="G339" s="1" t="s">
        <v>15</v>
      </c>
      <c r="H339" s="3">
        <v>0</v>
      </c>
      <c r="I339" s="24" t="str">
        <f t="shared" si="44"/>
        <v/>
      </c>
      <c r="J339" s="1" t="str">
        <f t="shared" si="45"/>
        <v>Absent</v>
      </c>
      <c r="K339" s="1" t="str">
        <f t="shared" si="46"/>
        <v>N/A</v>
      </c>
      <c r="L339" s="1" t="str">
        <f t="shared" si="47"/>
        <v>⚠ Mismatch</v>
      </c>
      <c r="M339" s="24" t="str">
        <f t="shared" si="48"/>
        <v>REVIEW</v>
      </c>
    </row>
    <row r="340" spans="1:13" ht="15" customHeight="1" x14ac:dyDescent="0.35">
      <c r="A340" s="1" t="s">
        <v>110</v>
      </c>
      <c r="B340" s="2" t="s">
        <v>111</v>
      </c>
      <c r="C340" s="1" t="s">
        <v>68</v>
      </c>
      <c r="D340" s="1" t="s">
        <v>51</v>
      </c>
      <c r="E340" s="24" t="s">
        <v>19</v>
      </c>
      <c r="F340" s="1" t="s">
        <v>163</v>
      </c>
      <c r="G340" s="1" t="s">
        <v>60</v>
      </c>
      <c r="H340" s="3">
        <f t="shared" ref="H340:H350" si="50">IFERROR(MOD(TIMEVALUE(G340)-TIMEVALUE(F340),1)*24,0)</f>
        <v>10.666666666666664</v>
      </c>
      <c r="I340" s="24" t="str">
        <f t="shared" si="44"/>
        <v>On Time</v>
      </c>
      <c r="J340" s="1" t="str">
        <f t="shared" si="45"/>
        <v>Full Day</v>
      </c>
      <c r="K340" s="1" t="str">
        <f t="shared" si="46"/>
        <v>Full Day</v>
      </c>
      <c r="L340" s="1" t="str">
        <f t="shared" si="47"/>
        <v>✓ Match</v>
      </c>
      <c r="M340" s="24" t="str">
        <f t="shared" si="48"/>
        <v>CLEAN</v>
      </c>
    </row>
    <row r="341" spans="1:13" ht="15" customHeight="1" x14ac:dyDescent="0.35">
      <c r="A341" s="1" t="s">
        <v>72</v>
      </c>
      <c r="B341" s="2" t="s">
        <v>73</v>
      </c>
      <c r="C341" s="1" t="s">
        <v>68</v>
      </c>
      <c r="D341" s="1" t="s">
        <v>51</v>
      </c>
      <c r="E341" s="24" t="s">
        <v>19</v>
      </c>
      <c r="F341" s="1" t="s">
        <v>122</v>
      </c>
      <c r="G341" s="1" t="s">
        <v>27</v>
      </c>
      <c r="H341" s="3">
        <f t="shared" si="50"/>
        <v>11.416666666666668</v>
      </c>
      <c r="I341" s="24" t="str">
        <f t="shared" si="44"/>
        <v>Late</v>
      </c>
      <c r="J341" s="1" t="str">
        <f t="shared" si="45"/>
        <v>Full Day</v>
      </c>
      <c r="K341" s="1" t="str">
        <f t="shared" si="46"/>
        <v>Full Day</v>
      </c>
      <c r="L341" s="1" t="str">
        <f t="shared" si="47"/>
        <v>✓ Match</v>
      </c>
      <c r="M341" s="24" t="str">
        <f t="shared" si="48"/>
        <v>CLEAN</v>
      </c>
    </row>
    <row r="342" spans="1:13" ht="15" customHeight="1" x14ac:dyDescent="0.35">
      <c r="A342" s="1" t="s">
        <v>76</v>
      </c>
      <c r="B342" s="2" t="s">
        <v>77</v>
      </c>
      <c r="C342" s="1" t="s">
        <v>68</v>
      </c>
      <c r="D342" s="1" t="s">
        <v>51</v>
      </c>
      <c r="E342" s="24" t="s">
        <v>19</v>
      </c>
      <c r="F342" s="1" t="s">
        <v>137</v>
      </c>
      <c r="G342" s="1" t="s">
        <v>90</v>
      </c>
      <c r="H342" s="3">
        <f t="shared" si="50"/>
        <v>10.916666666666666</v>
      </c>
      <c r="I342" s="24" t="str">
        <f t="shared" si="44"/>
        <v>Late</v>
      </c>
      <c r="J342" s="1" t="str">
        <f t="shared" si="45"/>
        <v>Full Day</v>
      </c>
      <c r="K342" s="1" t="str">
        <f t="shared" si="46"/>
        <v>Full Day</v>
      </c>
      <c r="L342" s="1" t="str">
        <f t="shared" si="47"/>
        <v>✓ Match</v>
      </c>
      <c r="M342" s="24" t="str">
        <f t="shared" si="48"/>
        <v>CLEAN</v>
      </c>
    </row>
    <row r="343" spans="1:13" ht="15" customHeight="1" x14ac:dyDescent="0.35">
      <c r="A343" s="1" t="s">
        <v>105</v>
      </c>
      <c r="B343" s="2" t="s">
        <v>106</v>
      </c>
      <c r="C343" s="1" t="s">
        <v>11</v>
      </c>
      <c r="D343" s="1" t="s">
        <v>51</v>
      </c>
      <c r="E343" s="24" t="s">
        <v>19</v>
      </c>
      <c r="F343" s="1" t="s">
        <v>129</v>
      </c>
      <c r="G343" s="1" t="s">
        <v>147</v>
      </c>
      <c r="H343" s="3">
        <f t="shared" si="50"/>
        <v>8.3333333333333321</v>
      </c>
      <c r="I343" s="24" t="str">
        <f t="shared" si="44"/>
        <v>On Time</v>
      </c>
      <c r="J343" s="1" t="str">
        <f t="shared" si="45"/>
        <v>Full Day</v>
      </c>
      <c r="K343" s="1" t="str">
        <f t="shared" si="46"/>
        <v>Full Day</v>
      </c>
      <c r="L343" s="1" t="str">
        <f t="shared" si="47"/>
        <v>✓ Match</v>
      </c>
      <c r="M343" s="24" t="str">
        <f t="shared" si="48"/>
        <v>CLEAN</v>
      </c>
    </row>
    <row r="344" spans="1:13" ht="15" customHeight="1" x14ac:dyDescent="0.35">
      <c r="A344" s="1" t="s">
        <v>124</v>
      </c>
      <c r="B344" s="2" t="s">
        <v>125</v>
      </c>
      <c r="C344" s="1" t="s">
        <v>68</v>
      </c>
      <c r="D344" s="1" t="s">
        <v>51</v>
      </c>
      <c r="E344" s="24" t="s">
        <v>19</v>
      </c>
      <c r="F344" s="1" t="s">
        <v>122</v>
      </c>
      <c r="G344" s="1" t="s">
        <v>97</v>
      </c>
      <c r="H344" s="3">
        <f t="shared" si="50"/>
        <v>10.916666666666666</v>
      </c>
      <c r="I344" s="24" t="str">
        <f t="shared" si="44"/>
        <v>Late</v>
      </c>
      <c r="J344" s="1" t="str">
        <f t="shared" si="45"/>
        <v>Full Day</v>
      </c>
      <c r="K344" s="1" t="str">
        <f t="shared" si="46"/>
        <v>Full Day</v>
      </c>
      <c r="L344" s="1" t="str">
        <f t="shared" si="47"/>
        <v>✓ Match</v>
      </c>
      <c r="M344" s="24" t="str">
        <f t="shared" si="48"/>
        <v>CLEAN</v>
      </c>
    </row>
    <row r="345" spans="1:13" ht="15" customHeight="1" x14ac:dyDescent="0.35">
      <c r="A345" s="1" t="s">
        <v>66</v>
      </c>
      <c r="B345" s="2" t="s">
        <v>67</v>
      </c>
      <c r="C345" s="1" t="s">
        <v>68</v>
      </c>
      <c r="D345" s="1" t="s">
        <v>51</v>
      </c>
      <c r="E345" s="24" t="s">
        <v>19</v>
      </c>
      <c r="F345" s="1" t="s">
        <v>75</v>
      </c>
      <c r="G345" s="1" t="s">
        <v>153</v>
      </c>
      <c r="H345" s="3">
        <f t="shared" si="50"/>
        <v>12.083333333333332</v>
      </c>
      <c r="I345" s="24" t="str">
        <f t="shared" si="44"/>
        <v>On Time</v>
      </c>
      <c r="J345" s="1" t="str">
        <f t="shared" si="45"/>
        <v>Full Day</v>
      </c>
      <c r="K345" s="1" t="str">
        <f t="shared" si="46"/>
        <v>Full Day</v>
      </c>
      <c r="L345" s="1" t="str">
        <f t="shared" si="47"/>
        <v>✓ Match</v>
      </c>
      <c r="M345" s="24" t="str">
        <f t="shared" si="48"/>
        <v>CLEAN</v>
      </c>
    </row>
    <row r="346" spans="1:13" ht="15" customHeight="1" x14ac:dyDescent="0.35">
      <c r="A346" s="1" t="s">
        <v>53</v>
      </c>
      <c r="B346" s="2" t="s">
        <v>54</v>
      </c>
      <c r="C346" s="1" t="s">
        <v>18</v>
      </c>
      <c r="D346" s="1" t="s">
        <v>51</v>
      </c>
      <c r="E346" s="24" t="s">
        <v>37</v>
      </c>
      <c r="F346" s="1" t="s">
        <v>138</v>
      </c>
      <c r="G346" s="1" t="s">
        <v>144</v>
      </c>
      <c r="H346" s="3">
        <f t="shared" si="50"/>
        <v>7.3333333333333339</v>
      </c>
      <c r="I346" s="24" t="str">
        <f t="shared" si="44"/>
        <v>Late</v>
      </c>
      <c r="J346" s="1" t="str">
        <f t="shared" si="45"/>
        <v>Half Day</v>
      </c>
      <c r="K346" s="1" t="str">
        <f t="shared" si="46"/>
        <v>Half Day</v>
      </c>
      <c r="L346" s="1" t="str">
        <f t="shared" si="47"/>
        <v>✓ Match</v>
      </c>
      <c r="M346" s="24" t="str">
        <f t="shared" si="48"/>
        <v>CLEAN</v>
      </c>
    </row>
    <row r="347" spans="1:13" ht="15" customHeight="1" x14ac:dyDescent="0.35">
      <c r="A347" s="1" t="s">
        <v>150</v>
      </c>
      <c r="B347" s="2" t="s">
        <v>151</v>
      </c>
      <c r="C347" s="1" t="s">
        <v>68</v>
      </c>
      <c r="D347" s="1" t="s">
        <v>51</v>
      </c>
      <c r="E347" s="24" t="s">
        <v>19</v>
      </c>
      <c r="F347" s="1" t="s">
        <v>43</v>
      </c>
      <c r="G347" s="1" t="s">
        <v>109</v>
      </c>
      <c r="H347" s="3">
        <f t="shared" si="50"/>
        <v>8.75</v>
      </c>
      <c r="I347" s="24" t="str">
        <f t="shared" si="44"/>
        <v>On Time</v>
      </c>
      <c r="J347" s="1" t="str">
        <f t="shared" si="45"/>
        <v>Full Day</v>
      </c>
      <c r="K347" s="1" t="str">
        <f t="shared" si="46"/>
        <v>Full Day</v>
      </c>
      <c r="L347" s="1" t="str">
        <f t="shared" si="47"/>
        <v>✓ Match</v>
      </c>
      <c r="M347" s="24" t="str">
        <f t="shared" si="48"/>
        <v>CLEAN</v>
      </c>
    </row>
    <row r="348" spans="1:13" ht="15" customHeight="1" x14ac:dyDescent="0.35">
      <c r="A348" s="1" t="s">
        <v>40</v>
      </c>
      <c r="B348" s="2" t="s">
        <v>41</v>
      </c>
      <c r="C348" s="1" t="s">
        <v>24</v>
      </c>
      <c r="D348" s="1" t="s">
        <v>51</v>
      </c>
      <c r="E348" s="24" t="s">
        <v>37</v>
      </c>
      <c r="F348" s="1" t="s">
        <v>20</v>
      </c>
      <c r="G348" s="1" t="s">
        <v>60</v>
      </c>
      <c r="H348" s="3">
        <f t="shared" si="50"/>
        <v>10.25</v>
      </c>
      <c r="I348" s="24" t="str">
        <f t="shared" si="44"/>
        <v>On Time</v>
      </c>
      <c r="J348" s="1" t="str">
        <f t="shared" si="45"/>
        <v>Full Day</v>
      </c>
      <c r="K348" s="1" t="str">
        <f t="shared" si="46"/>
        <v>Full Day</v>
      </c>
      <c r="L348" s="1" t="str">
        <f t="shared" si="47"/>
        <v>✓ Match</v>
      </c>
      <c r="M348" s="24" t="str">
        <f t="shared" si="48"/>
        <v>CLEAN</v>
      </c>
    </row>
    <row r="349" spans="1:13" ht="15" customHeight="1" x14ac:dyDescent="0.35">
      <c r="A349" s="1" t="s">
        <v>28</v>
      </c>
      <c r="B349" s="2" t="s">
        <v>29</v>
      </c>
      <c r="C349" s="1" t="s">
        <v>30</v>
      </c>
      <c r="D349" s="1" t="s">
        <v>51</v>
      </c>
      <c r="E349" s="24" t="s">
        <v>19</v>
      </c>
      <c r="F349" s="1" t="s">
        <v>129</v>
      </c>
      <c r="G349" s="1" t="s">
        <v>44</v>
      </c>
      <c r="H349" s="3">
        <f t="shared" si="50"/>
        <v>9.5</v>
      </c>
      <c r="I349" s="24" t="str">
        <f t="shared" si="44"/>
        <v>On Time</v>
      </c>
      <c r="J349" s="1" t="str">
        <f t="shared" si="45"/>
        <v>Full Day</v>
      </c>
      <c r="K349" s="1" t="str">
        <f t="shared" si="46"/>
        <v>Full Day</v>
      </c>
      <c r="L349" s="1" t="str">
        <f t="shared" si="47"/>
        <v>✓ Match</v>
      </c>
      <c r="M349" s="24" t="str">
        <f t="shared" si="48"/>
        <v>CLEAN</v>
      </c>
    </row>
    <row r="350" spans="1:13" ht="15" customHeight="1" x14ac:dyDescent="0.35">
      <c r="A350" s="1" t="s">
        <v>16</v>
      </c>
      <c r="B350" s="2" t="s">
        <v>17</v>
      </c>
      <c r="C350" s="1" t="s">
        <v>18</v>
      </c>
      <c r="D350" s="1" t="s">
        <v>51</v>
      </c>
      <c r="E350" s="24" t="s">
        <v>19</v>
      </c>
      <c r="F350" s="1" t="s">
        <v>128</v>
      </c>
      <c r="G350" s="1" t="s">
        <v>156</v>
      </c>
      <c r="H350" s="3">
        <f t="shared" si="50"/>
        <v>8</v>
      </c>
      <c r="I350" s="24" t="str">
        <f t="shared" si="44"/>
        <v>Late</v>
      </c>
      <c r="J350" s="1" t="str">
        <f t="shared" si="45"/>
        <v>Full Day</v>
      </c>
      <c r="K350" s="1" t="str">
        <f t="shared" si="46"/>
        <v>Full Day</v>
      </c>
      <c r="L350" s="1" t="str">
        <f t="shared" si="47"/>
        <v>✓ Match</v>
      </c>
      <c r="M350" s="24" t="str">
        <f t="shared" si="48"/>
        <v>CLEAN</v>
      </c>
    </row>
    <row r="351" spans="1:13" ht="15" customHeight="1" x14ac:dyDescent="0.35">
      <c r="A351" s="1" t="s">
        <v>57</v>
      </c>
      <c r="B351" s="2" t="s">
        <v>58</v>
      </c>
      <c r="C351" s="1" t="s">
        <v>30</v>
      </c>
      <c r="D351" s="1" t="s">
        <v>51</v>
      </c>
      <c r="E351" s="24" t="s">
        <v>13</v>
      </c>
      <c r="F351" s="1" t="s">
        <v>14</v>
      </c>
      <c r="G351" s="1" t="s">
        <v>15</v>
      </c>
      <c r="H351" s="3">
        <v>0</v>
      </c>
      <c r="I351" s="24" t="str">
        <f t="shared" si="44"/>
        <v/>
      </c>
      <c r="J351" s="1" t="str">
        <f t="shared" si="45"/>
        <v>Absent</v>
      </c>
      <c r="K351" s="1" t="str">
        <f t="shared" si="46"/>
        <v>N/A</v>
      </c>
      <c r="L351" s="1" t="str">
        <f t="shared" si="47"/>
        <v>⚠ Mismatch</v>
      </c>
      <c r="M351" s="24" t="str">
        <f t="shared" si="48"/>
        <v>REVIEW</v>
      </c>
    </row>
    <row r="352" spans="1:13" ht="15" customHeight="1" x14ac:dyDescent="0.35">
      <c r="A352" s="1" t="s">
        <v>95</v>
      </c>
      <c r="B352" s="2" t="s">
        <v>96</v>
      </c>
      <c r="C352" s="1" t="s">
        <v>68</v>
      </c>
      <c r="D352" s="1" t="s">
        <v>51</v>
      </c>
      <c r="E352" s="24" t="s">
        <v>13</v>
      </c>
      <c r="F352" s="1" t="s">
        <v>14</v>
      </c>
      <c r="G352" s="1" t="s">
        <v>15</v>
      </c>
      <c r="H352" s="3">
        <v>0</v>
      </c>
      <c r="I352" s="24" t="str">
        <f t="shared" si="44"/>
        <v/>
      </c>
      <c r="J352" s="1" t="str">
        <f t="shared" si="45"/>
        <v>Absent</v>
      </c>
      <c r="K352" s="1" t="str">
        <f t="shared" si="46"/>
        <v>N/A</v>
      </c>
      <c r="L352" s="1" t="str">
        <f t="shared" si="47"/>
        <v>⚠ Mismatch</v>
      </c>
      <c r="M352" s="24" t="str">
        <f t="shared" si="48"/>
        <v>REVIEW</v>
      </c>
    </row>
    <row r="353" spans="1:13" ht="15" customHeight="1" x14ac:dyDescent="0.35">
      <c r="A353" s="1" t="s">
        <v>134</v>
      </c>
      <c r="B353" s="2" t="s">
        <v>135</v>
      </c>
      <c r="C353" s="1" t="s">
        <v>68</v>
      </c>
      <c r="D353" s="1" t="s">
        <v>51</v>
      </c>
      <c r="E353" s="24" t="s">
        <v>19</v>
      </c>
      <c r="F353" s="1" t="s">
        <v>43</v>
      </c>
      <c r="G353" s="1" t="s">
        <v>127</v>
      </c>
      <c r="H353" s="3">
        <f>IFERROR(MOD(TIMEVALUE(G353)-TIMEVALUE(F353),1)*24,0)</f>
        <v>9.8333333333333321</v>
      </c>
      <c r="I353" s="24" t="str">
        <f t="shared" si="44"/>
        <v>On Time</v>
      </c>
      <c r="J353" s="1" t="str">
        <f t="shared" si="45"/>
        <v>Full Day</v>
      </c>
      <c r="K353" s="1" t="str">
        <f t="shared" si="46"/>
        <v>Full Day</v>
      </c>
      <c r="L353" s="1" t="str">
        <f t="shared" si="47"/>
        <v>✓ Match</v>
      </c>
      <c r="M353" s="24" t="str">
        <f t="shared" si="48"/>
        <v>CLEAN</v>
      </c>
    </row>
    <row r="354" spans="1:13" ht="15" customHeight="1" x14ac:dyDescent="0.35">
      <c r="A354" s="1" t="s">
        <v>158</v>
      </c>
      <c r="B354" s="2" t="s">
        <v>159</v>
      </c>
      <c r="C354" s="1" t="s">
        <v>11</v>
      </c>
      <c r="D354" s="1" t="s">
        <v>51</v>
      </c>
      <c r="E354" s="24" t="s">
        <v>19</v>
      </c>
      <c r="F354" s="1" t="s">
        <v>75</v>
      </c>
      <c r="G354" s="1" t="s">
        <v>168</v>
      </c>
      <c r="H354" s="3">
        <f>IFERROR(MOD(TIMEVALUE(G354)-TIMEVALUE(F354),1)*24,0)</f>
        <v>7.5</v>
      </c>
      <c r="I354" s="24" t="str">
        <f t="shared" si="44"/>
        <v>On Time</v>
      </c>
      <c r="J354" s="1" t="str">
        <f t="shared" si="45"/>
        <v>Half Day</v>
      </c>
      <c r="K354" s="1" t="str">
        <f t="shared" si="46"/>
        <v>Half Day</v>
      </c>
      <c r="L354" s="1" t="str">
        <f t="shared" si="47"/>
        <v>✓ Match</v>
      </c>
      <c r="M354" s="24" t="str">
        <f t="shared" si="48"/>
        <v>CLEAN</v>
      </c>
    </row>
    <row r="355" spans="1:13" ht="15" customHeight="1" x14ac:dyDescent="0.35">
      <c r="A355" s="1" t="s">
        <v>22</v>
      </c>
      <c r="B355" s="2" t="s">
        <v>23</v>
      </c>
      <c r="C355" s="1" t="s">
        <v>24</v>
      </c>
      <c r="D355" s="1" t="s">
        <v>51</v>
      </c>
      <c r="E355" s="24" t="s">
        <v>19</v>
      </c>
      <c r="F355" s="1" t="s">
        <v>43</v>
      </c>
      <c r="G355" s="1" t="s">
        <v>108</v>
      </c>
      <c r="H355" s="3">
        <f>IFERROR(MOD(TIMEVALUE(G355)-TIMEVALUE(F355),1)*24,0)</f>
        <v>11.999999999999998</v>
      </c>
      <c r="I355" s="24" t="str">
        <f t="shared" si="44"/>
        <v>On Time</v>
      </c>
      <c r="J355" s="1" t="str">
        <f t="shared" si="45"/>
        <v>Full Day</v>
      </c>
      <c r="K355" s="1" t="str">
        <f t="shared" si="46"/>
        <v>Full Day</v>
      </c>
      <c r="L355" s="1" t="str">
        <f t="shared" si="47"/>
        <v>✓ Match</v>
      </c>
      <c r="M355" s="24" t="str">
        <f t="shared" si="48"/>
        <v>CLEAN</v>
      </c>
    </row>
    <row r="356" spans="1:13" ht="15" customHeight="1" x14ac:dyDescent="0.35">
      <c r="A356" s="1" t="s">
        <v>130</v>
      </c>
      <c r="B356" s="2" t="s">
        <v>131</v>
      </c>
      <c r="C356" s="1" t="s">
        <v>11</v>
      </c>
      <c r="D356" s="1" t="s">
        <v>51</v>
      </c>
      <c r="E356" s="24" t="s">
        <v>19</v>
      </c>
      <c r="F356" s="1" t="s">
        <v>138</v>
      </c>
      <c r="G356" s="1" t="s">
        <v>109</v>
      </c>
      <c r="H356" s="3">
        <f>IFERROR(MOD(TIMEVALUE(G356)-TIMEVALUE(F356),1)*24,0)</f>
        <v>8.0833333333333339</v>
      </c>
      <c r="I356" s="24" t="str">
        <f t="shared" si="44"/>
        <v>Late</v>
      </c>
      <c r="J356" s="1" t="str">
        <f t="shared" si="45"/>
        <v>Full Day</v>
      </c>
      <c r="K356" s="1" t="str">
        <f t="shared" si="46"/>
        <v>Full Day</v>
      </c>
      <c r="L356" s="1" t="str">
        <f t="shared" si="47"/>
        <v>✓ Match</v>
      </c>
      <c r="M356" s="24" t="str">
        <f t="shared" si="48"/>
        <v>CLEAN</v>
      </c>
    </row>
    <row r="357" spans="1:13" ht="15" customHeight="1" x14ac:dyDescent="0.35">
      <c r="A357" s="1" t="s">
        <v>120</v>
      </c>
      <c r="B357" s="2" t="s">
        <v>121</v>
      </c>
      <c r="C357" s="1" t="s">
        <v>11</v>
      </c>
      <c r="D357" s="1" t="s">
        <v>51</v>
      </c>
      <c r="E357" s="24" t="s">
        <v>13</v>
      </c>
      <c r="F357" s="1" t="s">
        <v>14</v>
      </c>
      <c r="G357" s="1" t="s">
        <v>15</v>
      </c>
      <c r="H357" s="3">
        <v>0</v>
      </c>
      <c r="I357" s="24" t="str">
        <f t="shared" si="44"/>
        <v/>
      </c>
      <c r="J357" s="1" t="str">
        <f t="shared" si="45"/>
        <v>Absent</v>
      </c>
      <c r="K357" s="1" t="str">
        <f t="shared" si="46"/>
        <v>N/A</v>
      </c>
      <c r="L357" s="1" t="str">
        <f t="shared" si="47"/>
        <v>⚠ Mismatch</v>
      </c>
      <c r="M357" s="24" t="str">
        <f t="shared" si="48"/>
        <v>REVIEW</v>
      </c>
    </row>
    <row r="358" spans="1:13" ht="15" customHeight="1" x14ac:dyDescent="0.35">
      <c r="A358" s="1" t="s">
        <v>79</v>
      </c>
      <c r="B358" s="2" t="s">
        <v>80</v>
      </c>
      <c r="C358" s="1" t="s">
        <v>18</v>
      </c>
      <c r="D358" s="1" t="s">
        <v>51</v>
      </c>
      <c r="E358" s="24" t="s">
        <v>13</v>
      </c>
      <c r="F358" s="1" t="s">
        <v>14</v>
      </c>
      <c r="G358" s="1" t="s">
        <v>15</v>
      </c>
      <c r="H358" s="3">
        <v>0</v>
      </c>
      <c r="I358" s="24" t="str">
        <f t="shared" si="44"/>
        <v/>
      </c>
      <c r="J358" s="1" t="str">
        <f t="shared" si="45"/>
        <v>Absent</v>
      </c>
      <c r="K358" s="1" t="str">
        <f t="shared" si="46"/>
        <v>N/A</v>
      </c>
      <c r="L358" s="1" t="str">
        <f t="shared" si="47"/>
        <v>⚠ Mismatch</v>
      </c>
      <c r="M358" s="24" t="str">
        <f t="shared" si="48"/>
        <v>REVIEW</v>
      </c>
    </row>
    <row r="359" spans="1:13" ht="15" customHeight="1" x14ac:dyDescent="0.35">
      <c r="A359" s="1" t="s">
        <v>82</v>
      </c>
      <c r="B359" s="2" t="s">
        <v>83</v>
      </c>
      <c r="C359" s="1" t="s">
        <v>68</v>
      </c>
      <c r="D359" s="1" t="s">
        <v>51</v>
      </c>
      <c r="E359" s="24" t="s">
        <v>19</v>
      </c>
      <c r="F359" s="1" t="s">
        <v>64</v>
      </c>
      <c r="G359" s="1" t="s">
        <v>71</v>
      </c>
      <c r="H359" s="3">
        <f>IFERROR(MOD(TIMEVALUE(G359)-TIMEVALUE(F359),1)*24,0)</f>
        <v>11.666666666666664</v>
      </c>
      <c r="I359" s="24" t="str">
        <f t="shared" si="44"/>
        <v>On Time</v>
      </c>
      <c r="J359" s="1" t="str">
        <f t="shared" si="45"/>
        <v>Full Day</v>
      </c>
      <c r="K359" s="1" t="str">
        <f t="shared" si="46"/>
        <v>Full Day</v>
      </c>
      <c r="L359" s="1" t="str">
        <f t="shared" si="47"/>
        <v>✓ Match</v>
      </c>
      <c r="M359" s="24" t="str">
        <f t="shared" si="48"/>
        <v>CLEAN</v>
      </c>
    </row>
    <row r="360" spans="1:13" ht="15" customHeight="1" x14ac:dyDescent="0.35">
      <c r="A360" s="1" t="s">
        <v>45</v>
      </c>
      <c r="B360" s="2" t="s">
        <v>46</v>
      </c>
      <c r="C360" s="1" t="s">
        <v>18</v>
      </c>
      <c r="D360" s="1" t="s">
        <v>51</v>
      </c>
      <c r="E360" s="24" t="s">
        <v>13</v>
      </c>
      <c r="F360" s="1" t="s">
        <v>14</v>
      </c>
      <c r="G360" s="1" t="s">
        <v>15</v>
      </c>
      <c r="H360" s="3">
        <v>0</v>
      </c>
      <c r="I360" s="24" t="str">
        <f t="shared" si="44"/>
        <v/>
      </c>
      <c r="J360" s="1" t="str">
        <f t="shared" si="45"/>
        <v>Absent</v>
      </c>
      <c r="K360" s="1" t="str">
        <f t="shared" si="46"/>
        <v>N/A</v>
      </c>
      <c r="L360" s="1" t="str">
        <f t="shared" si="47"/>
        <v>⚠ Mismatch</v>
      </c>
      <c r="M360" s="24" t="str">
        <f t="shared" si="48"/>
        <v>REVIEW</v>
      </c>
    </row>
    <row r="361" spans="1:13" ht="15" customHeight="1" x14ac:dyDescent="0.35">
      <c r="A361" s="1" t="s">
        <v>98</v>
      </c>
      <c r="B361" s="2" t="s">
        <v>99</v>
      </c>
      <c r="C361" s="1" t="s">
        <v>18</v>
      </c>
      <c r="D361" s="1" t="s">
        <v>51</v>
      </c>
      <c r="E361" s="24" t="s">
        <v>19</v>
      </c>
      <c r="F361" s="1" t="s">
        <v>140</v>
      </c>
      <c r="G361" s="1" t="s">
        <v>153</v>
      </c>
      <c r="H361" s="3">
        <f>IFERROR(MOD(TIMEVALUE(G361)-TIMEVALUE(F361),1)*24,0)</f>
        <v>10.583333333333332</v>
      </c>
      <c r="I361" s="24" t="str">
        <f t="shared" si="44"/>
        <v>Late</v>
      </c>
      <c r="J361" s="1" t="str">
        <f t="shared" si="45"/>
        <v>Full Day</v>
      </c>
      <c r="K361" s="1" t="str">
        <f t="shared" si="46"/>
        <v>Full Day</v>
      </c>
      <c r="L361" s="1" t="str">
        <f t="shared" si="47"/>
        <v>✓ Match</v>
      </c>
      <c r="M361" s="24" t="str">
        <f t="shared" si="48"/>
        <v>CLEAN</v>
      </c>
    </row>
    <row r="362" spans="1:13" ht="15" customHeight="1" x14ac:dyDescent="0.35">
      <c r="A362" s="1" t="s">
        <v>142</v>
      </c>
      <c r="B362" s="2" t="s">
        <v>143</v>
      </c>
      <c r="C362" s="1" t="s">
        <v>18</v>
      </c>
      <c r="D362" s="1" t="s">
        <v>51</v>
      </c>
      <c r="E362" s="24" t="s">
        <v>13</v>
      </c>
      <c r="F362" s="1" t="s">
        <v>14</v>
      </c>
      <c r="G362" s="1" t="s">
        <v>15</v>
      </c>
      <c r="H362" s="3">
        <v>0</v>
      </c>
      <c r="I362" s="24" t="str">
        <f t="shared" si="44"/>
        <v/>
      </c>
      <c r="J362" s="1" t="str">
        <f t="shared" si="45"/>
        <v>Absent</v>
      </c>
      <c r="K362" s="1" t="str">
        <f t="shared" si="46"/>
        <v>N/A</v>
      </c>
      <c r="L362" s="1" t="str">
        <f t="shared" si="47"/>
        <v>⚠ Mismatch</v>
      </c>
      <c r="M362" s="24" t="str">
        <f t="shared" si="48"/>
        <v>REVIEW</v>
      </c>
    </row>
    <row r="363" spans="1:13" ht="15" customHeight="1" x14ac:dyDescent="0.35">
      <c r="A363" s="1" t="s">
        <v>66</v>
      </c>
      <c r="B363" s="2" t="s">
        <v>67</v>
      </c>
      <c r="C363" s="1" t="s">
        <v>68</v>
      </c>
      <c r="D363" s="1" t="s">
        <v>69</v>
      </c>
      <c r="E363" s="24" t="s">
        <v>19</v>
      </c>
      <c r="F363" s="1" t="s">
        <v>70</v>
      </c>
      <c r="G363" s="1" t="s">
        <v>71</v>
      </c>
      <c r="H363" s="3">
        <f>IFERROR(MOD(TIMEVALUE(G363)-TIMEVALUE(F363),1)*24,0)</f>
        <v>8.9999999999999982</v>
      </c>
      <c r="I363" s="24" t="str">
        <f t="shared" si="44"/>
        <v>Late</v>
      </c>
      <c r="J363" s="1" t="str">
        <f t="shared" si="45"/>
        <v>Full Day</v>
      </c>
      <c r="K363" s="1" t="str">
        <f t="shared" si="46"/>
        <v>Full Day</v>
      </c>
      <c r="L363" s="1" t="str">
        <f t="shared" si="47"/>
        <v>✓ Match</v>
      </c>
      <c r="M363" s="24" t="str">
        <f t="shared" si="48"/>
        <v>CLEAN</v>
      </c>
    </row>
    <row r="364" spans="1:13" ht="15" customHeight="1" x14ac:dyDescent="0.35">
      <c r="A364" s="1" t="s">
        <v>95</v>
      </c>
      <c r="B364" s="2" t="s">
        <v>96</v>
      </c>
      <c r="C364" s="1" t="s">
        <v>68</v>
      </c>
      <c r="D364" s="1" t="s">
        <v>69</v>
      </c>
      <c r="E364" s="24" t="s">
        <v>19</v>
      </c>
      <c r="F364" s="1" t="s">
        <v>128</v>
      </c>
      <c r="G364" s="1" t="s">
        <v>94</v>
      </c>
      <c r="H364" s="3">
        <f>IFERROR(MOD(TIMEVALUE(G364)-TIMEVALUE(F364),1)*24,0)</f>
        <v>9.7500000000000018</v>
      </c>
      <c r="I364" s="24" t="str">
        <f t="shared" si="44"/>
        <v>Late</v>
      </c>
      <c r="J364" s="1" t="str">
        <f t="shared" si="45"/>
        <v>Full Day</v>
      </c>
      <c r="K364" s="1" t="str">
        <f t="shared" si="46"/>
        <v>Full Day</v>
      </c>
      <c r="L364" s="1" t="str">
        <f t="shared" si="47"/>
        <v>✓ Match</v>
      </c>
      <c r="M364" s="24" t="str">
        <f t="shared" si="48"/>
        <v>CLEAN</v>
      </c>
    </row>
    <row r="365" spans="1:13" ht="15" customHeight="1" x14ac:dyDescent="0.35">
      <c r="A365" s="1" t="s">
        <v>82</v>
      </c>
      <c r="B365" s="2" t="s">
        <v>83</v>
      </c>
      <c r="C365" s="1" t="s">
        <v>68</v>
      </c>
      <c r="D365" s="1" t="s">
        <v>69</v>
      </c>
      <c r="E365" s="24" t="s">
        <v>19</v>
      </c>
      <c r="F365" s="1" t="s">
        <v>64</v>
      </c>
      <c r="G365" s="1" t="s">
        <v>144</v>
      </c>
      <c r="H365" s="3">
        <f>IFERROR(MOD(TIMEVALUE(G365)-TIMEVALUE(F365),1)*24,0)</f>
        <v>8.4166666666666661</v>
      </c>
      <c r="I365" s="24" t="str">
        <f t="shared" si="44"/>
        <v>On Time</v>
      </c>
      <c r="J365" s="1" t="str">
        <f t="shared" si="45"/>
        <v>Full Day</v>
      </c>
      <c r="K365" s="1" t="str">
        <f t="shared" si="46"/>
        <v>Full Day</v>
      </c>
      <c r="L365" s="1" t="str">
        <f t="shared" si="47"/>
        <v>✓ Match</v>
      </c>
      <c r="M365" s="24" t="str">
        <f t="shared" si="48"/>
        <v>CLEAN</v>
      </c>
    </row>
    <row r="366" spans="1:13" ht="15" customHeight="1" x14ac:dyDescent="0.35">
      <c r="A366" s="1" t="s">
        <v>120</v>
      </c>
      <c r="B366" s="2" t="s">
        <v>121</v>
      </c>
      <c r="C366" s="1" t="s">
        <v>11</v>
      </c>
      <c r="D366" s="1" t="s">
        <v>69</v>
      </c>
      <c r="E366" s="24" t="s">
        <v>37</v>
      </c>
      <c r="F366" s="1" t="s">
        <v>140</v>
      </c>
      <c r="G366" s="1" t="s">
        <v>27</v>
      </c>
      <c r="H366" s="3">
        <f>IFERROR(MOD(TIMEVALUE(G366)-TIMEVALUE(F366),1)*24,0)</f>
        <v>11</v>
      </c>
      <c r="I366" s="24" t="str">
        <f t="shared" si="44"/>
        <v>Late</v>
      </c>
      <c r="J366" s="1" t="str">
        <f t="shared" si="45"/>
        <v>Full Day</v>
      </c>
      <c r="K366" s="1" t="str">
        <f t="shared" si="46"/>
        <v>Full Day</v>
      </c>
      <c r="L366" s="1" t="str">
        <f t="shared" si="47"/>
        <v>✓ Match</v>
      </c>
      <c r="M366" s="24" t="str">
        <f t="shared" si="48"/>
        <v>CLEAN</v>
      </c>
    </row>
    <row r="367" spans="1:13" ht="15" customHeight="1" x14ac:dyDescent="0.35">
      <c r="A367" s="1" t="s">
        <v>53</v>
      </c>
      <c r="B367" s="2" t="s">
        <v>54</v>
      </c>
      <c r="C367" s="1" t="s">
        <v>18</v>
      </c>
      <c r="D367" s="1" t="s">
        <v>69</v>
      </c>
      <c r="E367" s="24" t="s">
        <v>13</v>
      </c>
      <c r="F367" s="1" t="s">
        <v>14</v>
      </c>
      <c r="G367" s="1" t="s">
        <v>15</v>
      </c>
      <c r="H367" s="3">
        <v>0</v>
      </c>
      <c r="I367" s="24" t="str">
        <f t="shared" si="44"/>
        <v/>
      </c>
      <c r="J367" s="1" t="str">
        <f t="shared" si="45"/>
        <v>Absent</v>
      </c>
      <c r="K367" s="1" t="str">
        <f t="shared" si="46"/>
        <v>N/A</v>
      </c>
      <c r="L367" s="1" t="str">
        <f t="shared" si="47"/>
        <v>⚠ Mismatch</v>
      </c>
      <c r="M367" s="24" t="str">
        <f t="shared" si="48"/>
        <v>REVIEW</v>
      </c>
    </row>
    <row r="368" spans="1:13" ht="15" customHeight="1" x14ac:dyDescent="0.35">
      <c r="A368" s="1" t="s">
        <v>16</v>
      </c>
      <c r="B368" s="2" t="s">
        <v>17</v>
      </c>
      <c r="C368" s="1" t="s">
        <v>18</v>
      </c>
      <c r="D368" s="1" t="s">
        <v>69</v>
      </c>
      <c r="E368" s="24" t="s">
        <v>19</v>
      </c>
      <c r="F368" s="1" t="s">
        <v>129</v>
      </c>
      <c r="G368" s="1" t="s">
        <v>78</v>
      </c>
      <c r="H368" s="3">
        <f t="shared" ref="H368:H375" si="51">IFERROR(MOD(TIMEVALUE(G368)-TIMEVALUE(F368),1)*24,0)</f>
        <v>8.75</v>
      </c>
      <c r="I368" s="24" t="str">
        <f t="shared" si="44"/>
        <v>On Time</v>
      </c>
      <c r="J368" s="1" t="str">
        <f t="shared" si="45"/>
        <v>Full Day</v>
      </c>
      <c r="K368" s="1" t="str">
        <f t="shared" si="46"/>
        <v>Full Day</v>
      </c>
      <c r="L368" s="1" t="str">
        <f t="shared" si="47"/>
        <v>✓ Match</v>
      </c>
      <c r="M368" s="24" t="str">
        <f t="shared" si="48"/>
        <v>CLEAN</v>
      </c>
    </row>
    <row r="369" spans="1:13" ht="15" customHeight="1" x14ac:dyDescent="0.35">
      <c r="A369" s="1" t="s">
        <v>142</v>
      </c>
      <c r="B369" s="2" t="s">
        <v>143</v>
      </c>
      <c r="C369" s="1" t="s">
        <v>18</v>
      </c>
      <c r="D369" s="1" t="s">
        <v>69</v>
      </c>
      <c r="E369" s="24" t="s">
        <v>19</v>
      </c>
      <c r="F369" s="1" t="s">
        <v>56</v>
      </c>
      <c r="G369" s="1" t="s">
        <v>97</v>
      </c>
      <c r="H369" s="3">
        <f t="shared" si="51"/>
        <v>10</v>
      </c>
      <c r="I369" s="24" t="str">
        <f t="shared" si="44"/>
        <v>Late</v>
      </c>
      <c r="J369" s="1" t="str">
        <f t="shared" si="45"/>
        <v>Full Day</v>
      </c>
      <c r="K369" s="1" t="str">
        <f t="shared" si="46"/>
        <v>Full Day</v>
      </c>
      <c r="L369" s="1" t="str">
        <f t="shared" si="47"/>
        <v>✓ Match</v>
      </c>
      <c r="M369" s="24" t="str">
        <f t="shared" si="48"/>
        <v>CLEAN</v>
      </c>
    </row>
    <row r="370" spans="1:13" ht="15" customHeight="1" x14ac:dyDescent="0.35">
      <c r="A370" s="1" t="s">
        <v>61</v>
      </c>
      <c r="B370" s="2" t="s">
        <v>62</v>
      </c>
      <c r="C370" s="1" t="s">
        <v>11</v>
      </c>
      <c r="D370" s="1" t="s">
        <v>69</v>
      </c>
      <c r="E370" s="24" t="s">
        <v>19</v>
      </c>
      <c r="F370" s="1" t="s">
        <v>32</v>
      </c>
      <c r="G370" s="1" t="s">
        <v>144</v>
      </c>
      <c r="H370" s="3">
        <f t="shared" si="51"/>
        <v>8.3333333333333339</v>
      </c>
      <c r="I370" s="24" t="str">
        <f t="shared" si="44"/>
        <v>On Time</v>
      </c>
      <c r="J370" s="1" t="str">
        <f t="shared" si="45"/>
        <v>Full Day</v>
      </c>
      <c r="K370" s="1" t="str">
        <f t="shared" si="46"/>
        <v>Full Day</v>
      </c>
      <c r="L370" s="1" t="str">
        <f t="shared" si="47"/>
        <v>✓ Match</v>
      </c>
      <c r="M370" s="24" t="str">
        <f t="shared" si="48"/>
        <v>CLEAN</v>
      </c>
    </row>
    <row r="371" spans="1:13" ht="15" customHeight="1" x14ac:dyDescent="0.35">
      <c r="A371" s="1" t="s">
        <v>47</v>
      </c>
      <c r="B371" s="2" t="s">
        <v>48</v>
      </c>
      <c r="C371" s="1" t="s">
        <v>18</v>
      </c>
      <c r="D371" s="1" t="s">
        <v>69</v>
      </c>
      <c r="E371" s="24" t="s">
        <v>19</v>
      </c>
      <c r="F371" s="1" t="s">
        <v>70</v>
      </c>
      <c r="G371" s="1" t="s">
        <v>153</v>
      </c>
      <c r="H371" s="3">
        <f t="shared" si="51"/>
        <v>9.5833333333333321</v>
      </c>
      <c r="I371" s="24" t="str">
        <f t="shared" si="44"/>
        <v>Late</v>
      </c>
      <c r="J371" s="1" t="str">
        <f t="shared" si="45"/>
        <v>Full Day</v>
      </c>
      <c r="K371" s="1" t="str">
        <f t="shared" si="46"/>
        <v>Full Day</v>
      </c>
      <c r="L371" s="1" t="str">
        <f t="shared" si="47"/>
        <v>✓ Match</v>
      </c>
      <c r="M371" s="24" t="str">
        <f t="shared" si="48"/>
        <v>CLEAN</v>
      </c>
    </row>
    <row r="372" spans="1:13" ht="15" customHeight="1" x14ac:dyDescent="0.35">
      <c r="A372" s="1" t="s">
        <v>134</v>
      </c>
      <c r="B372" s="2" t="s">
        <v>135</v>
      </c>
      <c r="C372" s="1" t="s">
        <v>68</v>
      </c>
      <c r="D372" s="1" t="s">
        <v>69</v>
      </c>
      <c r="E372" s="24" t="s">
        <v>19</v>
      </c>
      <c r="F372" s="1" t="s">
        <v>100</v>
      </c>
      <c r="G372" s="1" t="s">
        <v>156</v>
      </c>
      <c r="H372" s="3">
        <f t="shared" si="51"/>
        <v>9.5</v>
      </c>
      <c r="I372" s="24" t="str">
        <f t="shared" si="44"/>
        <v>On Time</v>
      </c>
      <c r="J372" s="1" t="str">
        <f t="shared" si="45"/>
        <v>Full Day</v>
      </c>
      <c r="K372" s="1" t="str">
        <f t="shared" si="46"/>
        <v>Full Day</v>
      </c>
      <c r="L372" s="1" t="str">
        <f t="shared" si="47"/>
        <v>✓ Match</v>
      </c>
      <c r="M372" s="24" t="str">
        <f t="shared" si="48"/>
        <v>CLEAN</v>
      </c>
    </row>
    <row r="373" spans="1:13" ht="15" customHeight="1" x14ac:dyDescent="0.35">
      <c r="A373" s="1" t="s">
        <v>40</v>
      </c>
      <c r="B373" s="2" t="s">
        <v>41</v>
      </c>
      <c r="C373" s="1" t="s">
        <v>24</v>
      </c>
      <c r="D373" s="1" t="s">
        <v>69</v>
      </c>
      <c r="E373" s="24" t="s">
        <v>19</v>
      </c>
      <c r="F373" s="1" t="s">
        <v>84</v>
      </c>
      <c r="G373" s="1" t="s">
        <v>71</v>
      </c>
      <c r="H373" s="3">
        <f t="shared" si="51"/>
        <v>10.499999999999998</v>
      </c>
      <c r="I373" s="24" t="str">
        <f t="shared" si="44"/>
        <v>Late</v>
      </c>
      <c r="J373" s="1" t="str">
        <f t="shared" si="45"/>
        <v>Full Day</v>
      </c>
      <c r="K373" s="1" t="str">
        <f t="shared" si="46"/>
        <v>Full Day</v>
      </c>
      <c r="L373" s="1" t="str">
        <f t="shared" si="47"/>
        <v>✓ Match</v>
      </c>
      <c r="M373" s="24" t="str">
        <f t="shared" si="48"/>
        <v>CLEAN</v>
      </c>
    </row>
    <row r="374" spans="1:13" ht="15" customHeight="1" x14ac:dyDescent="0.35">
      <c r="A374" s="1" t="s">
        <v>158</v>
      </c>
      <c r="B374" s="2" t="s">
        <v>159</v>
      </c>
      <c r="C374" s="1" t="s">
        <v>11</v>
      </c>
      <c r="D374" s="1" t="s">
        <v>69</v>
      </c>
      <c r="E374" s="24" t="s">
        <v>19</v>
      </c>
      <c r="F374" s="1" t="s">
        <v>100</v>
      </c>
      <c r="G374" s="1" t="s">
        <v>156</v>
      </c>
      <c r="H374" s="3">
        <f t="shared" si="51"/>
        <v>9.5</v>
      </c>
      <c r="I374" s="24" t="str">
        <f t="shared" si="44"/>
        <v>On Time</v>
      </c>
      <c r="J374" s="1" t="str">
        <f t="shared" si="45"/>
        <v>Full Day</v>
      </c>
      <c r="K374" s="1" t="str">
        <f t="shared" si="46"/>
        <v>Full Day</v>
      </c>
      <c r="L374" s="1" t="str">
        <f t="shared" si="47"/>
        <v>✓ Match</v>
      </c>
      <c r="M374" s="24" t="str">
        <f t="shared" si="48"/>
        <v>CLEAN</v>
      </c>
    </row>
    <row r="375" spans="1:13" ht="15" customHeight="1" x14ac:dyDescent="0.35">
      <c r="A375" s="1" t="s">
        <v>124</v>
      </c>
      <c r="B375" s="2" t="s">
        <v>125</v>
      </c>
      <c r="C375" s="1" t="s">
        <v>68</v>
      </c>
      <c r="D375" s="1" t="s">
        <v>69</v>
      </c>
      <c r="E375" s="24" t="s">
        <v>19</v>
      </c>
      <c r="F375" s="1" t="s">
        <v>138</v>
      </c>
      <c r="G375" s="1" t="s">
        <v>154</v>
      </c>
      <c r="H375" s="3">
        <f t="shared" si="51"/>
        <v>7.1666666666666652</v>
      </c>
      <c r="I375" s="24" t="str">
        <f t="shared" si="44"/>
        <v>Late</v>
      </c>
      <c r="J375" s="1" t="str">
        <f t="shared" si="45"/>
        <v>Half Day</v>
      </c>
      <c r="K375" s="1" t="str">
        <f t="shared" si="46"/>
        <v>Half Day</v>
      </c>
      <c r="L375" s="1" t="str">
        <f t="shared" si="47"/>
        <v>✓ Match</v>
      </c>
      <c r="M375" s="24" t="str">
        <f t="shared" si="48"/>
        <v>CLEAN</v>
      </c>
    </row>
    <row r="376" spans="1:13" ht="15" customHeight="1" x14ac:dyDescent="0.35">
      <c r="A376" s="1" t="s">
        <v>72</v>
      </c>
      <c r="B376" s="2" t="s">
        <v>73</v>
      </c>
      <c r="C376" s="1" t="s">
        <v>68</v>
      </c>
      <c r="D376" s="1" t="s">
        <v>69</v>
      </c>
      <c r="E376" s="24" t="s">
        <v>13</v>
      </c>
      <c r="F376" s="1" t="s">
        <v>14</v>
      </c>
      <c r="G376" s="1" t="s">
        <v>15</v>
      </c>
      <c r="H376" s="3">
        <v>0</v>
      </c>
      <c r="I376" s="24" t="str">
        <f t="shared" si="44"/>
        <v/>
      </c>
      <c r="J376" s="1" t="str">
        <f t="shared" si="45"/>
        <v>Absent</v>
      </c>
      <c r="K376" s="1" t="str">
        <f t="shared" si="46"/>
        <v>N/A</v>
      </c>
      <c r="L376" s="1" t="str">
        <f t="shared" si="47"/>
        <v>⚠ Mismatch</v>
      </c>
      <c r="M376" s="24" t="str">
        <f t="shared" si="48"/>
        <v>REVIEW</v>
      </c>
    </row>
    <row r="377" spans="1:13" ht="15" customHeight="1" x14ac:dyDescent="0.35">
      <c r="A377" s="1" t="s">
        <v>105</v>
      </c>
      <c r="B377" s="2" t="s">
        <v>106</v>
      </c>
      <c r="C377" s="1" t="s">
        <v>11</v>
      </c>
      <c r="D377" s="1" t="s">
        <v>69</v>
      </c>
      <c r="E377" s="24" t="s">
        <v>19</v>
      </c>
      <c r="F377" s="1" t="s">
        <v>70</v>
      </c>
      <c r="G377" s="1" t="s">
        <v>156</v>
      </c>
      <c r="H377" s="3">
        <f>IFERROR(MOD(TIMEVALUE(G377)-TIMEVALUE(F377),1)*24,0)</f>
        <v>6.7499999999999982</v>
      </c>
      <c r="I377" s="24" t="str">
        <f t="shared" si="44"/>
        <v>Late</v>
      </c>
      <c r="J377" s="1" t="str">
        <f t="shared" si="45"/>
        <v>Half Day</v>
      </c>
      <c r="K377" s="1" t="str">
        <f t="shared" si="46"/>
        <v>Half Day</v>
      </c>
      <c r="L377" s="1" t="str">
        <f t="shared" si="47"/>
        <v>✓ Match</v>
      </c>
      <c r="M377" s="24" t="str">
        <f t="shared" si="48"/>
        <v>CLEAN</v>
      </c>
    </row>
    <row r="378" spans="1:13" ht="15" customHeight="1" x14ac:dyDescent="0.35">
      <c r="A378" s="1" t="s">
        <v>91</v>
      </c>
      <c r="B378" s="2" t="s">
        <v>92</v>
      </c>
      <c r="C378" s="1" t="s">
        <v>18</v>
      </c>
      <c r="D378" s="1" t="s">
        <v>69</v>
      </c>
      <c r="E378" s="24" t="s">
        <v>19</v>
      </c>
      <c r="F378" s="1" t="s">
        <v>122</v>
      </c>
      <c r="G378" s="1" t="s">
        <v>123</v>
      </c>
      <c r="H378" s="3">
        <f>IFERROR(MOD(TIMEVALUE(G378)-TIMEVALUE(F378),1)*24,0)</f>
        <v>10.833333333333334</v>
      </c>
      <c r="I378" s="24" t="str">
        <f t="shared" si="44"/>
        <v>Late</v>
      </c>
      <c r="J378" s="1" t="str">
        <f t="shared" si="45"/>
        <v>Full Day</v>
      </c>
      <c r="K378" s="1" t="str">
        <f t="shared" si="46"/>
        <v>Full Day</v>
      </c>
      <c r="L378" s="1" t="str">
        <f t="shared" si="47"/>
        <v>✓ Match</v>
      </c>
      <c r="M378" s="24" t="str">
        <f t="shared" si="48"/>
        <v>CLEAN</v>
      </c>
    </row>
    <row r="379" spans="1:13" ht="15" customHeight="1" x14ac:dyDescent="0.35">
      <c r="A379" s="1" t="s">
        <v>79</v>
      </c>
      <c r="B379" s="2" t="s">
        <v>80</v>
      </c>
      <c r="C379" s="1" t="s">
        <v>18</v>
      </c>
      <c r="D379" s="1" t="s">
        <v>69</v>
      </c>
      <c r="E379" s="24" t="s">
        <v>19</v>
      </c>
      <c r="F379" s="1" t="s">
        <v>122</v>
      </c>
      <c r="G379" s="1" t="s">
        <v>154</v>
      </c>
      <c r="H379" s="3">
        <f>IFERROR(MOD(TIMEVALUE(G379)-TIMEVALUE(F379),1)*24,0)</f>
        <v>6.9999999999999982</v>
      </c>
      <c r="I379" s="24" t="str">
        <f t="shared" si="44"/>
        <v>Late</v>
      </c>
      <c r="J379" s="1" t="str">
        <f t="shared" si="45"/>
        <v>Half Day</v>
      </c>
      <c r="K379" s="1" t="str">
        <f t="shared" si="46"/>
        <v>Half Day</v>
      </c>
      <c r="L379" s="1" t="str">
        <f t="shared" si="47"/>
        <v>✓ Match</v>
      </c>
      <c r="M379" s="24" t="str">
        <f t="shared" si="48"/>
        <v>CLEAN</v>
      </c>
    </row>
    <row r="380" spans="1:13" ht="15" customHeight="1" x14ac:dyDescent="0.35">
      <c r="A380" s="1" t="s">
        <v>112</v>
      </c>
      <c r="B380" s="2" t="s">
        <v>113</v>
      </c>
      <c r="C380" s="1" t="s">
        <v>30</v>
      </c>
      <c r="D380" s="1" t="s">
        <v>69</v>
      </c>
      <c r="E380" s="24" t="s">
        <v>13</v>
      </c>
      <c r="F380" s="1" t="s">
        <v>14</v>
      </c>
      <c r="G380" s="1" t="s">
        <v>15</v>
      </c>
      <c r="H380" s="3">
        <v>0</v>
      </c>
      <c r="I380" s="24" t="str">
        <f t="shared" si="44"/>
        <v/>
      </c>
      <c r="J380" s="1" t="str">
        <f t="shared" si="45"/>
        <v>Absent</v>
      </c>
      <c r="K380" s="1" t="str">
        <f t="shared" si="46"/>
        <v>N/A</v>
      </c>
      <c r="L380" s="1" t="str">
        <f t="shared" si="47"/>
        <v>⚠ Mismatch</v>
      </c>
      <c r="M380" s="24" t="str">
        <f t="shared" si="48"/>
        <v>REVIEW</v>
      </c>
    </row>
    <row r="381" spans="1:13" ht="15" customHeight="1" x14ac:dyDescent="0.35">
      <c r="A381" s="1" t="s">
        <v>101</v>
      </c>
      <c r="B381" s="2" t="s">
        <v>102</v>
      </c>
      <c r="C381" s="1" t="s">
        <v>30</v>
      </c>
      <c r="D381" s="1" t="s">
        <v>69</v>
      </c>
      <c r="E381" s="24" t="s">
        <v>19</v>
      </c>
      <c r="F381" s="1" t="s">
        <v>122</v>
      </c>
      <c r="G381" s="1" t="s">
        <v>27</v>
      </c>
      <c r="H381" s="3">
        <f>IFERROR(MOD(TIMEVALUE(G381)-TIMEVALUE(F381),1)*24,0)</f>
        <v>11.416666666666668</v>
      </c>
      <c r="I381" s="24" t="str">
        <f t="shared" si="44"/>
        <v>Late</v>
      </c>
      <c r="J381" s="1" t="str">
        <f t="shared" si="45"/>
        <v>Full Day</v>
      </c>
      <c r="K381" s="1" t="str">
        <f t="shared" si="46"/>
        <v>Full Day</v>
      </c>
      <c r="L381" s="1" t="str">
        <f t="shared" si="47"/>
        <v>✓ Match</v>
      </c>
      <c r="M381" s="24" t="str">
        <f t="shared" si="48"/>
        <v>CLEAN</v>
      </c>
    </row>
    <row r="382" spans="1:13" ht="15" customHeight="1" x14ac:dyDescent="0.35">
      <c r="A382" s="1" t="s">
        <v>98</v>
      </c>
      <c r="B382" s="2" t="s">
        <v>99</v>
      </c>
      <c r="C382" s="1" t="s">
        <v>18</v>
      </c>
      <c r="D382" s="1" t="s">
        <v>69</v>
      </c>
      <c r="E382" s="24" t="s">
        <v>13</v>
      </c>
      <c r="F382" s="1" t="s">
        <v>14</v>
      </c>
      <c r="G382" s="1" t="s">
        <v>15</v>
      </c>
      <c r="H382" s="3">
        <v>0</v>
      </c>
      <c r="I382" s="24" t="str">
        <f t="shared" si="44"/>
        <v/>
      </c>
      <c r="J382" s="1" t="str">
        <f t="shared" si="45"/>
        <v>Absent</v>
      </c>
      <c r="K382" s="1" t="str">
        <f t="shared" si="46"/>
        <v>N/A</v>
      </c>
      <c r="L382" s="1" t="str">
        <f t="shared" si="47"/>
        <v>⚠ Mismatch</v>
      </c>
      <c r="M382" s="24" t="str">
        <f t="shared" si="48"/>
        <v>REVIEW</v>
      </c>
    </row>
    <row r="383" spans="1:13" ht="15" customHeight="1" x14ac:dyDescent="0.35">
      <c r="A383" s="1" t="s">
        <v>57</v>
      </c>
      <c r="B383" s="2" t="s">
        <v>58</v>
      </c>
      <c r="C383" s="1" t="s">
        <v>30</v>
      </c>
      <c r="D383" s="1" t="s">
        <v>69</v>
      </c>
      <c r="E383" s="24" t="s">
        <v>13</v>
      </c>
      <c r="F383" s="1" t="s">
        <v>14</v>
      </c>
      <c r="G383" s="1" t="s">
        <v>15</v>
      </c>
      <c r="H383" s="3">
        <v>0</v>
      </c>
      <c r="I383" s="24" t="str">
        <f t="shared" si="44"/>
        <v/>
      </c>
      <c r="J383" s="1" t="str">
        <f t="shared" si="45"/>
        <v>Absent</v>
      </c>
      <c r="K383" s="1" t="str">
        <f t="shared" si="46"/>
        <v>N/A</v>
      </c>
      <c r="L383" s="1" t="str">
        <f t="shared" si="47"/>
        <v>⚠ Mismatch</v>
      </c>
      <c r="M383" s="24" t="str">
        <f t="shared" si="48"/>
        <v>REVIEW</v>
      </c>
    </row>
    <row r="384" spans="1:13" ht="15" customHeight="1" x14ac:dyDescent="0.35">
      <c r="A384" s="1" t="s">
        <v>45</v>
      </c>
      <c r="B384" s="2" t="s">
        <v>46</v>
      </c>
      <c r="C384" s="1" t="s">
        <v>18</v>
      </c>
      <c r="D384" s="1" t="s">
        <v>69</v>
      </c>
      <c r="E384" s="24" t="s">
        <v>19</v>
      </c>
      <c r="F384" s="1" t="s">
        <v>122</v>
      </c>
      <c r="G384" s="1" t="s">
        <v>50</v>
      </c>
      <c r="H384" s="3">
        <f>IFERROR(MOD(TIMEVALUE(G384)-TIMEVALUE(F384),1)*24,0)</f>
        <v>7.6666666666666679</v>
      </c>
      <c r="I384" s="24" t="str">
        <f t="shared" si="44"/>
        <v>Late</v>
      </c>
      <c r="J384" s="1" t="str">
        <f t="shared" si="45"/>
        <v>Half Day</v>
      </c>
      <c r="K384" s="1" t="str">
        <f t="shared" si="46"/>
        <v>Half Day</v>
      </c>
      <c r="L384" s="1" t="str">
        <f t="shared" si="47"/>
        <v>✓ Match</v>
      </c>
      <c r="M384" s="24" t="str">
        <f t="shared" si="48"/>
        <v>CLEAN</v>
      </c>
    </row>
    <row r="385" spans="1:13" ht="15" customHeight="1" x14ac:dyDescent="0.35">
      <c r="A385" s="1" t="s">
        <v>110</v>
      </c>
      <c r="B385" s="2" t="s">
        <v>111</v>
      </c>
      <c r="C385" s="1" t="s">
        <v>68</v>
      </c>
      <c r="D385" s="1" t="s">
        <v>69</v>
      </c>
      <c r="E385" s="24" t="s">
        <v>37</v>
      </c>
      <c r="F385" s="1" t="s">
        <v>122</v>
      </c>
      <c r="G385" s="1" t="s">
        <v>39</v>
      </c>
      <c r="H385" s="3">
        <f>IFERROR(MOD(TIMEVALUE(G385)-TIMEVALUE(F385),1)*24,0)</f>
        <v>9.4166666666666661</v>
      </c>
      <c r="I385" s="24" t="str">
        <f t="shared" si="44"/>
        <v>Late</v>
      </c>
      <c r="J385" s="1" t="str">
        <f t="shared" si="45"/>
        <v>Full Day</v>
      </c>
      <c r="K385" s="1" t="str">
        <f t="shared" si="46"/>
        <v>Full Day</v>
      </c>
      <c r="L385" s="1" t="str">
        <f t="shared" si="47"/>
        <v>✓ Match</v>
      </c>
      <c r="M385" s="24" t="str">
        <f t="shared" si="48"/>
        <v>CLEAN</v>
      </c>
    </row>
    <row r="386" spans="1:13" ht="15" customHeight="1" x14ac:dyDescent="0.35">
      <c r="A386" s="1" t="s">
        <v>22</v>
      </c>
      <c r="B386" s="2" t="s">
        <v>23</v>
      </c>
      <c r="C386" s="1" t="s">
        <v>24</v>
      </c>
      <c r="D386" s="1" t="s">
        <v>69</v>
      </c>
      <c r="E386" s="24" t="s">
        <v>13</v>
      </c>
      <c r="F386" s="1" t="s">
        <v>14</v>
      </c>
      <c r="G386" s="1" t="s">
        <v>15</v>
      </c>
      <c r="H386" s="3">
        <v>0</v>
      </c>
      <c r="I386" s="24" t="str">
        <f t="shared" si="44"/>
        <v/>
      </c>
      <c r="J386" s="1" t="str">
        <f t="shared" si="45"/>
        <v>Absent</v>
      </c>
      <c r="K386" s="1" t="str">
        <f t="shared" si="46"/>
        <v>N/A</v>
      </c>
      <c r="L386" s="1" t="str">
        <f t="shared" si="47"/>
        <v>⚠ Mismatch</v>
      </c>
      <c r="M386" s="24" t="str">
        <f t="shared" si="48"/>
        <v>REVIEW</v>
      </c>
    </row>
    <row r="387" spans="1:13" ht="15" customHeight="1" x14ac:dyDescent="0.35">
      <c r="A387" s="1" t="s">
        <v>150</v>
      </c>
      <c r="B387" s="2" t="s">
        <v>151</v>
      </c>
      <c r="C387" s="1" t="s">
        <v>68</v>
      </c>
      <c r="D387" s="1" t="s">
        <v>69</v>
      </c>
      <c r="E387" s="24" t="s">
        <v>13</v>
      </c>
      <c r="F387" s="1" t="s">
        <v>14</v>
      </c>
      <c r="G387" s="1" t="s">
        <v>15</v>
      </c>
      <c r="H387" s="3">
        <v>0</v>
      </c>
      <c r="I387" s="24" t="str">
        <f t="shared" ref="I387:I450" si="52">IF(F387="No Login","",IF(TIMEVALUE(F387)&gt;TIMEVALUE("09:00"),"Late","On Time"))</f>
        <v/>
      </c>
      <c r="J387" s="1" t="str">
        <f t="shared" ref="J387:J450" si="53">IF(E387="Absent","Absent",IF(H387&gt;=8,"Full Day",IF(H387&gt;=4,"Half Day","Short")))</f>
        <v>Absent</v>
      </c>
      <c r="K387" s="1" t="str">
        <f t="shared" ref="K387:K450" si="54">IF(E387="Absent","N/A",IF(H387&gt;=8,"Full Day",IF(H387&gt;=4,"Half Day","Short")))</f>
        <v>N/A</v>
      </c>
      <c r="L387" s="1" t="str">
        <f t="shared" ref="L387:L450" si="55">IF(J387=K387,"✓ Match","⚠ Mismatch")</f>
        <v>⚠ Mismatch</v>
      </c>
      <c r="M387" s="24" t="str">
        <f t="shared" ref="M387:M450" si="56">IF(AND(J387=K387,OR(E387="Present",E387="Work From Home",E387="Absent")),"CLEAN","REVIEW")</f>
        <v>REVIEW</v>
      </c>
    </row>
    <row r="388" spans="1:13" ht="15" customHeight="1" x14ac:dyDescent="0.35">
      <c r="A388" s="1" t="s">
        <v>130</v>
      </c>
      <c r="B388" s="2" t="s">
        <v>131</v>
      </c>
      <c r="C388" s="1" t="s">
        <v>11</v>
      </c>
      <c r="D388" s="1" t="s">
        <v>69</v>
      </c>
      <c r="E388" s="24" t="s">
        <v>13</v>
      </c>
      <c r="F388" s="1" t="s">
        <v>14</v>
      </c>
      <c r="G388" s="1" t="s">
        <v>15</v>
      </c>
      <c r="H388" s="3">
        <v>0</v>
      </c>
      <c r="I388" s="24" t="str">
        <f t="shared" si="52"/>
        <v/>
      </c>
      <c r="J388" s="1" t="str">
        <f t="shared" si="53"/>
        <v>Absent</v>
      </c>
      <c r="K388" s="1" t="str">
        <f t="shared" si="54"/>
        <v>N/A</v>
      </c>
      <c r="L388" s="1" t="str">
        <f t="shared" si="55"/>
        <v>⚠ Mismatch</v>
      </c>
      <c r="M388" s="24" t="str">
        <f t="shared" si="56"/>
        <v>REVIEW</v>
      </c>
    </row>
    <row r="389" spans="1:13" ht="15" customHeight="1" x14ac:dyDescent="0.35">
      <c r="A389" s="1" t="s">
        <v>9</v>
      </c>
      <c r="B389" s="2" t="s">
        <v>10</v>
      </c>
      <c r="C389" s="1" t="s">
        <v>11</v>
      </c>
      <c r="D389" s="1" t="s">
        <v>69</v>
      </c>
      <c r="E389" s="24" t="s">
        <v>19</v>
      </c>
      <c r="F389" s="1" t="s">
        <v>89</v>
      </c>
      <c r="G389" s="1" t="s">
        <v>27</v>
      </c>
      <c r="H389" s="3">
        <f t="shared" ref="H389:H400" si="57">IFERROR(MOD(TIMEVALUE(G389)-TIMEVALUE(F389),1)*24,0)</f>
        <v>10.75</v>
      </c>
      <c r="I389" s="24" t="str">
        <f t="shared" si="52"/>
        <v>Late</v>
      </c>
      <c r="J389" s="1" t="str">
        <f t="shared" si="53"/>
        <v>Full Day</v>
      </c>
      <c r="K389" s="1" t="str">
        <f t="shared" si="54"/>
        <v>Full Day</v>
      </c>
      <c r="L389" s="1" t="str">
        <f t="shared" si="55"/>
        <v>✓ Match</v>
      </c>
      <c r="M389" s="24" t="str">
        <f t="shared" si="56"/>
        <v>CLEAN</v>
      </c>
    </row>
    <row r="390" spans="1:13" ht="15" customHeight="1" x14ac:dyDescent="0.35">
      <c r="A390" s="1" t="s">
        <v>76</v>
      </c>
      <c r="B390" s="2" t="s">
        <v>77</v>
      </c>
      <c r="C390" s="1" t="s">
        <v>68</v>
      </c>
      <c r="D390" s="1" t="s">
        <v>69</v>
      </c>
      <c r="E390" s="24" t="s">
        <v>19</v>
      </c>
      <c r="F390" s="1" t="s">
        <v>129</v>
      </c>
      <c r="G390" s="1" t="s">
        <v>165</v>
      </c>
      <c r="H390" s="3">
        <f t="shared" si="57"/>
        <v>7.2500000000000009</v>
      </c>
      <c r="I390" s="24" t="str">
        <f t="shared" si="52"/>
        <v>On Time</v>
      </c>
      <c r="J390" s="1" t="str">
        <f t="shared" si="53"/>
        <v>Half Day</v>
      </c>
      <c r="K390" s="1" t="str">
        <f t="shared" si="54"/>
        <v>Half Day</v>
      </c>
      <c r="L390" s="1" t="str">
        <f t="shared" si="55"/>
        <v>✓ Match</v>
      </c>
      <c r="M390" s="24" t="str">
        <f t="shared" si="56"/>
        <v>CLEAN</v>
      </c>
    </row>
    <row r="391" spans="1:13" ht="15" customHeight="1" x14ac:dyDescent="0.35">
      <c r="A391" s="1" t="s">
        <v>117</v>
      </c>
      <c r="B391" s="2" t="s">
        <v>118</v>
      </c>
      <c r="C391" s="1" t="s">
        <v>30</v>
      </c>
      <c r="D391" s="1" t="s">
        <v>69</v>
      </c>
      <c r="E391" s="24" t="s">
        <v>19</v>
      </c>
      <c r="F391" s="1" t="s">
        <v>89</v>
      </c>
      <c r="G391" s="1" t="s">
        <v>39</v>
      </c>
      <c r="H391" s="3">
        <f t="shared" si="57"/>
        <v>8.75</v>
      </c>
      <c r="I391" s="24" t="str">
        <f t="shared" si="52"/>
        <v>Late</v>
      </c>
      <c r="J391" s="1" t="str">
        <f t="shared" si="53"/>
        <v>Full Day</v>
      </c>
      <c r="K391" s="1" t="str">
        <f t="shared" si="54"/>
        <v>Full Day</v>
      </c>
      <c r="L391" s="1" t="str">
        <f t="shared" si="55"/>
        <v>✓ Match</v>
      </c>
      <c r="M391" s="24" t="str">
        <f t="shared" si="56"/>
        <v>CLEAN</v>
      </c>
    </row>
    <row r="392" spans="1:13" ht="15" customHeight="1" x14ac:dyDescent="0.35">
      <c r="A392" s="1" t="s">
        <v>28</v>
      </c>
      <c r="B392" s="2" t="s">
        <v>29</v>
      </c>
      <c r="C392" s="1" t="s">
        <v>30</v>
      </c>
      <c r="D392" s="1" t="s">
        <v>69</v>
      </c>
      <c r="E392" s="24" t="s">
        <v>19</v>
      </c>
      <c r="F392" s="1" t="s">
        <v>140</v>
      </c>
      <c r="G392" s="1" t="s">
        <v>107</v>
      </c>
      <c r="H392" s="3">
        <f t="shared" si="57"/>
        <v>8.5</v>
      </c>
      <c r="I392" s="24" t="str">
        <f t="shared" si="52"/>
        <v>Late</v>
      </c>
      <c r="J392" s="1" t="str">
        <f t="shared" si="53"/>
        <v>Full Day</v>
      </c>
      <c r="K392" s="1" t="str">
        <f t="shared" si="54"/>
        <v>Full Day</v>
      </c>
      <c r="L392" s="1" t="str">
        <f t="shared" si="55"/>
        <v>✓ Match</v>
      </c>
      <c r="M392" s="24" t="str">
        <f t="shared" si="56"/>
        <v>CLEAN</v>
      </c>
    </row>
    <row r="393" spans="1:13" ht="15" customHeight="1" x14ac:dyDescent="0.35">
      <c r="A393" s="1" t="s">
        <v>9</v>
      </c>
      <c r="B393" s="2" t="s">
        <v>10</v>
      </c>
      <c r="C393" s="1" t="s">
        <v>11</v>
      </c>
      <c r="D393" s="1" t="s">
        <v>36</v>
      </c>
      <c r="E393" s="24" t="s">
        <v>37</v>
      </c>
      <c r="F393" s="1" t="s">
        <v>38</v>
      </c>
      <c r="G393" s="1" t="s">
        <v>39</v>
      </c>
      <c r="H393" s="3">
        <f t="shared" si="57"/>
        <v>7.4166666666666661</v>
      </c>
      <c r="I393" s="24" t="str">
        <f t="shared" si="52"/>
        <v>Late</v>
      </c>
      <c r="J393" s="1" t="str">
        <f t="shared" si="53"/>
        <v>Half Day</v>
      </c>
      <c r="K393" s="1" t="str">
        <f t="shared" si="54"/>
        <v>Half Day</v>
      </c>
      <c r="L393" s="1" t="str">
        <f t="shared" si="55"/>
        <v>✓ Match</v>
      </c>
      <c r="M393" s="24" t="str">
        <f t="shared" si="56"/>
        <v>CLEAN</v>
      </c>
    </row>
    <row r="394" spans="1:13" ht="15" customHeight="1" x14ac:dyDescent="0.35">
      <c r="A394" s="1" t="s">
        <v>16</v>
      </c>
      <c r="B394" s="2" t="s">
        <v>17</v>
      </c>
      <c r="C394" s="1" t="s">
        <v>18</v>
      </c>
      <c r="D394" s="1" t="s">
        <v>36</v>
      </c>
      <c r="E394" s="24" t="s">
        <v>37</v>
      </c>
      <c r="F394" s="1" t="s">
        <v>84</v>
      </c>
      <c r="G394" s="1" t="s">
        <v>97</v>
      </c>
      <c r="H394" s="3">
        <f t="shared" si="57"/>
        <v>11</v>
      </c>
      <c r="I394" s="24" t="str">
        <f t="shared" si="52"/>
        <v>Late</v>
      </c>
      <c r="J394" s="1" t="str">
        <f t="shared" si="53"/>
        <v>Full Day</v>
      </c>
      <c r="K394" s="1" t="str">
        <f t="shared" si="54"/>
        <v>Full Day</v>
      </c>
      <c r="L394" s="1" t="str">
        <f t="shared" si="55"/>
        <v>✓ Match</v>
      </c>
      <c r="M394" s="24" t="str">
        <f t="shared" si="56"/>
        <v>CLEAN</v>
      </c>
    </row>
    <row r="395" spans="1:13" ht="15" customHeight="1" x14ac:dyDescent="0.35">
      <c r="A395" s="1" t="s">
        <v>117</v>
      </c>
      <c r="B395" s="2" t="s">
        <v>118</v>
      </c>
      <c r="C395" s="1" t="s">
        <v>30</v>
      </c>
      <c r="D395" s="1" t="s">
        <v>36</v>
      </c>
      <c r="E395" s="24" t="s">
        <v>19</v>
      </c>
      <c r="F395" s="1" t="s">
        <v>20</v>
      </c>
      <c r="G395" s="1" t="s">
        <v>108</v>
      </c>
      <c r="H395" s="3">
        <f t="shared" si="57"/>
        <v>11.75</v>
      </c>
      <c r="I395" s="24" t="str">
        <f t="shared" si="52"/>
        <v>On Time</v>
      </c>
      <c r="J395" s="1" t="str">
        <f t="shared" si="53"/>
        <v>Full Day</v>
      </c>
      <c r="K395" s="1" t="str">
        <f t="shared" si="54"/>
        <v>Full Day</v>
      </c>
      <c r="L395" s="1" t="str">
        <f t="shared" si="55"/>
        <v>✓ Match</v>
      </c>
      <c r="M395" s="24" t="str">
        <f t="shared" si="56"/>
        <v>CLEAN</v>
      </c>
    </row>
    <row r="396" spans="1:13" ht="15" customHeight="1" x14ac:dyDescent="0.35">
      <c r="A396" s="1" t="s">
        <v>101</v>
      </c>
      <c r="B396" s="2" t="s">
        <v>102</v>
      </c>
      <c r="C396" s="1" t="s">
        <v>30</v>
      </c>
      <c r="D396" s="1" t="s">
        <v>36</v>
      </c>
      <c r="E396" s="24" t="s">
        <v>19</v>
      </c>
      <c r="F396" s="1" t="s">
        <v>43</v>
      </c>
      <c r="G396" s="1" t="s">
        <v>107</v>
      </c>
      <c r="H396" s="3">
        <f t="shared" si="57"/>
        <v>9.7499999999999982</v>
      </c>
      <c r="I396" s="24" t="str">
        <f t="shared" si="52"/>
        <v>On Time</v>
      </c>
      <c r="J396" s="1" t="str">
        <f t="shared" si="53"/>
        <v>Full Day</v>
      </c>
      <c r="K396" s="1" t="str">
        <f t="shared" si="54"/>
        <v>Full Day</v>
      </c>
      <c r="L396" s="1" t="str">
        <f t="shared" si="55"/>
        <v>✓ Match</v>
      </c>
      <c r="M396" s="24" t="str">
        <f t="shared" si="56"/>
        <v>CLEAN</v>
      </c>
    </row>
    <row r="397" spans="1:13" ht="15" customHeight="1" x14ac:dyDescent="0.35">
      <c r="A397" s="1" t="s">
        <v>134</v>
      </c>
      <c r="B397" s="2" t="s">
        <v>135</v>
      </c>
      <c r="C397" s="1" t="s">
        <v>68</v>
      </c>
      <c r="D397" s="1" t="s">
        <v>36</v>
      </c>
      <c r="E397" s="24" t="s">
        <v>19</v>
      </c>
      <c r="F397" s="1" t="s">
        <v>20</v>
      </c>
      <c r="G397" s="1" t="s">
        <v>161</v>
      </c>
      <c r="H397" s="3">
        <f t="shared" si="57"/>
        <v>9.4166666666666696</v>
      </c>
      <c r="I397" s="24" t="str">
        <f t="shared" si="52"/>
        <v>On Time</v>
      </c>
      <c r="J397" s="1" t="str">
        <f t="shared" si="53"/>
        <v>Full Day</v>
      </c>
      <c r="K397" s="1" t="str">
        <f t="shared" si="54"/>
        <v>Full Day</v>
      </c>
      <c r="L397" s="1" t="str">
        <f t="shared" si="55"/>
        <v>✓ Match</v>
      </c>
      <c r="M397" s="24" t="str">
        <f t="shared" si="56"/>
        <v>CLEAN</v>
      </c>
    </row>
    <row r="398" spans="1:13" ht="15" customHeight="1" x14ac:dyDescent="0.35">
      <c r="A398" s="1" t="s">
        <v>95</v>
      </c>
      <c r="B398" s="2" t="s">
        <v>96</v>
      </c>
      <c r="C398" s="1" t="s">
        <v>68</v>
      </c>
      <c r="D398" s="1" t="s">
        <v>36</v>
      </c>
      <c r="E398" s="24" t="s">
        <v>19</v>
      </c>
      <c r="F398" s="1" t="s">
        <v>43</v>
      </c>
      <c r="G398" s="1" t="s">
        <v>107</v>
      </c>
      <c r="H398" s="3">
        <f t="shared" si="57"/>
        <v>9.7499999999999982</v>
      </c>
      <c r="I398" s="24" t="str">
        <f t="shared" si="52"/>
        <v>On Time</v>
      </c>
      <c r="J398" s="1" t="str">
        <f t="shared" si="53"/>
        <v>Full Day</v>
      </c>
      <c r="K398" s="1" t="str">
        <f t="shared" si="54"/>
        <v>Full Day</v>
      </c>
      <c r="L398" s="1" t="str">
        <f t="shared" si="55"/>
        <v>✓ Match</v>
      </c>
      <c r="M398" s="24" t="str">
        <f t="shared" si="56"/>
        <v>CLEAN</v>
      </c>
    </row>
    <row r="399" spans="1:13" ht="15" customHeight="1" x14ac:dyDescent="0.35">
      <c r="A399" s="1" t="s">
        <v>45</v>
      </c>
      <c r="B399" s="2" t="s">
        <v>46</v>
      </c>
      <c r="C399" s="1" t="s">
        <v>18</v>
      </c>
      <c r="D399" s="1" t="s">
        <v>36</v>
      </c>
      <c r="E399" s="24" t="s">
        <v>19</v>
      </c>
      <c r="F399" s="1" t="s">
        <v>104</v>
      </c>
      <c r="G399" s="1" t="s">
        <v>108</v>
      </c>
      <c r="H399" s="3">
        <f t="shared" si="57"/>
        <v>10.333333333333332</v>
      </c>
      <c r="I399" s="24" t="str">
        <f t="shared" si="52"/>
        <v>Late</v>
      </c>
      <c r="J399" s="1" t="str">
        <f t="shared" si="53"/>
        <v>Full Day</v>
      </c>
      <c r="K399" s="1" t="str">
        <f t="shared" si="54"/>
        <v>Full Day</v>
      </c>
      <c r="L399" s="1" t="str">
        <f t="shared" si="55"/>
        <v>✓ Match</v>
      </c>
      <c r="M399" s="24" t="str">
        <f t="shared" si="56"/>
        <v>CLEAN</v>
      </c>
    </row>
    <row r="400" spans="1:13" ht="15" customHeight="1" x14ac:dyDescent="0.35">
      <c r="A400" s="1" t="s">
        <v>158</v>
      </c>
      <c r="B400" s="2" t="s">
        <v>159</v>
      </c>
      <c r="C400" s="1" t="s">
        <v>11</v>
      </c>
      <c r="D400" s="1" t="s">
        <v>36</v>
      </c>
      <c r="E400" s="24" t="s">
        <v>19</v>
      </c>
      <c r="F400" s="1" t="s">
        <v>43</v>
      </c>
      <c r="G400" s="1" t="s">
        <v>97</v>
      </c>
      <c r="H400" s="3">
        <f t="shared" si="57"/>
        <v>11.75</v>
      </c>
      <c r="I400" s="24" t="str">
        <f t="shared" si="52"/>
        <v>On Time</v>
      </c>
      <c r="J400" s="1" t="str">
        <f t="shared" si="53"/>
        <v>Full Day</v>
      </c>
      <c r="K400" s="1" t="str">
        <f t="shared" si="54"/>
        <v>Full Day</v>
      </c>
      <c r="L400" s="1" t="str">
        <f t="shared" si="55"/>
        <v>✓ Match</v>
      </c>
      <c r="M400" s="24" t="str">
        <f t="shared" si="56"/>
        <v>CLEAN</v>
      </c>
    </row>
    <row r="401" spans="1:13" ht="15" customHeight="1" x14ac:dyDescent="0.35">
      <c r="A401" s="1" t="s">
        <v>53</v>
      </c>
      <c r="B401" s="2" t="s">
        <v>54</v>
      </c>
      <c r="C401" s="1" t="s">
        <v>18</v>
      </c>
      <c r="D401" s="1" t="s">
        <v>36</v>
      </c>
      <c r="E401" s="24" t="s">
        <v>13</v>
      </c>
      <c r="F401" s="1" t="s">
        <v>14</v>
      </c>
      <c r="G401" s="1" t="s">
        <v>15</v>
      </c>
      <c r="H401" s="3">
        <v>0</v>
      </c>
      <c r="I401" s="24" t="str">
        <f t="shared" si="52"/>
        <v/>
      </c>
      <c r="J401" s="1" t="str">
        <f t="shared" si="53"/>
        <v>Absent</v>
      </c>
      <c r="K401" s="1" t="str">
        <f t="shared" si="54"/>
        <v>N/A</v>
      </c>
      <c r="L401" s="1" t="str">
        <f t="shared" si="55"/>
        <v>⚠ Mismatch</v>
      </c>
      <c r="M401" s="24" t="str">
        <f t="shared" si="56"/>
        <v>REVIEW</v>
      </c>
    </row>
    <row r="402" spans="1:13" ht="15" customHeight="1" x14ac:dyDescent="0.35">
      <c r="A402" s="1" t="s">
        <v>142</v>
      </c>
      <c r="B402" s="2" t="s">
        <v>143</v>
      </c>
      <c r="C402" s="1" t="s">
        <v>18</v>
      </c>
      <c r="D402" s="1" t="s">
        <v>36</v>
      </c>
      <c r="E402" s="24" t="s">
        <v>19</v>
      </c>
      <c r="F402" s="1" t="s">
        <v>43</v>
      </c>
      <c r="G402" s="1" t="s">
        <v>97</v>
      </c>
      <c r="H402" s="3">
        <f>IFERROR(MOD(TIMEVALUE(G402)-TIMEVALUE(F402),1)*24,0)</f>
        <v>11.75</v>
      </c>
      <c r="I402" s="24" t="str">
        <f t="shared" si="52"/>
        <v>On Time</v>
      </c>
      <c r="J402" s="1" t="str">
        <f t="shared" si="53"/>
        <v>Full Day</v>
      </c>
      <c r="K402" s="1" t="str">
        <f t="shared" si="54"/>
        <v>Full Day</v>
      </c>
      <c r="L402" s="1" t="str">
        <f t="shared" si="55"/>
        <v>✓ Match</v>
      </c>
      <c r="M402" s="24" t="str">
        <f t="shared" si="56"/>
        <v>CLEAN</v>
      </c>
    </row>
    <row r="403" spans="1:13" ht="15" customHeight="1" x14ac:dyDescent="0.35">
      <c r="A403" s="1" t="s">
        <v>98</v>
      </c>
      <c r="B403" s="2" t="s">
        <v>99</v>
      </c>
      <c r="C403" s="1" t="s">
        <v>18</v>
      </c>
      <c r="D403" s="1" t="s">
        <v>36</v>
      </c>
      <c r="E403" s="24" t="s">
        <v>13</v>
      </c>
      <c r="F403" s="1" t="s">
        <v>14</v>
      </c>
      <c r="G403" s="1" t="s">
        <v>15</v>
      </c>
      <c r="H403" s="3">
        <v>0</v>
      </c>
      <c r="I403" s="24" t="str">
        <f t="shared" si="52"/>
        <v/>
      </c>
      <c r="J403" s="1" t="str">
        <f t="shared" si="53"/>
        <v>Absent</v>
      </c>
      <c r="K403" s="1" t="str">
        <f t="shared" si="54"/>
        <v>N/A</v>
      </c>
      <c r="L403" s="1" t="str">
        <f t="shared" si="55"/>
        <v>⚠ Mismatch</v>
      </c>
      <c r="M403" s="24" t="str">
        <f t="shared" si="56"/>
        <v>REVIEW</v>
      </c>
    </row>
    <row r="404" spans="1:13" ht="15" customHeight="1" x14ac:dyDescent="0.35">
      <c r="A404" s="1" t="s">
        <v>91</v>
      </c>
      <c r="B404" s="2" t="s">
        <v>92</v>
      </c>
      <c r="C404" s="1" t="s">
        <v>18</v>
      </c>
      <c r="D404" s="1" t="s">
        <v>36</v>
      </c>
      <c r="E404" s="24" t="s">
        <v>19</v>
      </c>
      <c r="F404" s="1" t="s">
        <v>167</v>
      </c>
      <c r="G404" s="1" t="s">
        <v>60</v>
      </c>
      <c r="H404" s="3">
        <f t="shared" ref="H404:H409" si="58">IFERROR(MOD(TIMEVALUE(G404)-TIMEVALUE(F404),1)*24,0)</f>
        <v>7.8333333333333339</v>
      </c>
      <c r="I404" s="24" t="str">
        <f t="shared" si="52"/>
        <v>Late</v>
      </c>
      <c r="J404" s="1" t="str">
        <f t="shared" si="53"/>
        <v>Half Day</v>
      </c>
      <c r="K404" s="1" t="str">
        <f t="shared" si="54"/>
        <v>Half Day</v>
      </c>
      <c r="L404" s="1" t="str">
        <f t="shared" si="55"/>
        <v>✓ Match</v>
      </c>
      <c r="M404" s="24" t="str">
        <f t="shared" si="56"/>
        <v>CLEAN</v>
      </c>
    </row>
    <row r="405" spans="1:13" ht="15" customHeight="1" x14ac:dyDescent="0.35">
      <c r="A405" s="1" t="s">
        <v>105</v>
      </c>
      <c r="B405" s="2" t="s">
        <v>106</v>
      </c>
      <c r="C405" s="1" t="s">
        <v>11</v>
      </c>
      <c r="D405" s="1" t="s">
        <v>36</v>
      </c>
      <c r="E405" s="24" t="s">
        <v>19</v>
      </c>
      <c r="F405" s="1" t="s">
        <v>137</v>
      </c>
      <c r="G405" s="1" t="s">
        <v>156</v>
      </c>
      <c r="H405" s="3">
        <f t="shared" si="58"/>
        <v>8.4166666666666643</v>
      </c>
      <c r="I405" s="24" t="str">
        <f t="shared" si="52"/>
        <v>Late</v>
      </c>
      <c r="J405" s="1" t="str">
        <f t="shared" si="53"/>
        <v>Full Day</v>
      </c>
      <c r="K405" s="1" t="str">
        <f t="shared" si="54"/>
        <v>Full Day</v>
      </c>
      <c r="L405" s="1" t="str">
        <f t="shared" si="55"/>
        <v>✓ Match</v>
      </c>
      <c r="M405" s="24" t="str">
        <f t="shared" si="56"/>
        <v>CLEAN</v>
      </c>
    </row>
    <row r="406" spans="1:13" ht="15" customHeight="1" x14ac:dyDescent="0.35">
      <c r="A406" s="1" t="s">
        <v>40</v>
      </c>
      <c r="B406" s="2" t="s">
        <v>41</v>
      </c>
      <c r="C406" s="1" t="s">
        <v>24</v>
      </c>
      <c r="D406" s="1" t="s">
        <v>36</v>
      </c>
      <c r="E406" s="24" t="s">
        <v>37</v>
      </c>
      <c r="F406" s="1" t="s">
        <v>140</v>
      </c>
      <c r="G406" s="1" t="s">
        <v>153</v>
      </c>
      <c r="H406" s="3">
        <f t="shared" si="58"/>
        <v>10.583333333333332</v>
      </c>
      <c r="I406" s="24" t="str">
        <f t="shared" si="52"/>
        <v>Late</v>
      </c>
      <c r="J406" s="1" t="str">
        <f t="shared" si="53"/>
        <v>Full Day</v>
      </c>
      <c r="K406" s="1" t="str">
        <f t="shared" si="54"/>
        <v>Full Day</v>
      </c>
      <c r="L406" s="1" t="str">
        <f t="shared" si="55"/>
        <v>✓ Match</v>
      </c>
      <c r="M406" s="24" t="str">
        <f t="shared" si="56"/>
        <v>CLEAN</v>
      </c>
    </row>
    <row r="407" spans="1:13" ht="15" customHeight="1" x14ac:dyDescent="0.35">
      <c r="A407" s="1" t="s">
        <v>120</v>
      </c>
      <c r="B407" s="2" t="s">
        <v>121</v>
      </c>
      <c r="C407" s="1" t="s">
        <v>11</v>
      </c>
      <c r="D407" s="1" t="s">
        <v>36</v>
      </c>
      <c r="E407" s="24" t="s">
        <v>19</v>
      </c>
      <c r="F407" s="1" t="s">
        <v>20</v>
      </c>
      <c r="G407" s="1" t="s">
        <v>60</v>
      </c>
      <c r="H407" s="3">
        <f t="shared" si="58"/>
        <v>10.25</v>
      </c>
      <c r="I407" s="24" t="str">
        <f t="shared" si="52"/>
        <v>On Time</v>
      </c>
      <c r="J407" s="1" t="str">
        <f t="shared" si="53"/>
        <v>Full Day</v>
      </c>
      <c r="K407" s="1" t="str">
        <f t="shared" si="54"/>
        <v>Full Day</v>
      </c>
      <c r="L407" s="1" t="str">
        <f t="shared" si="55"/>
        <v>✓ Match</v>
      </c>
      <c r="M407" s="24" t="str">
        <f t="shared" si="56"/>
        <v>CLEAN</v>
      </c>
    </row>
    <row r="408" spans="1:13" ht="15" customHeight="1" x14ac:dyDescent="0.35">
      <c r="A408" s="1" t="s">
        <v>28</v>
      </c>
      <c r="B408" s="2" t="s">
        <v>29</v>
      </c>
      <c r="C408" s="1" t="s">
        <v>30</v>
      </c>
      <c r="D408" s="1" t="s">
        <v>36</v>
      </c>
      <c r="E408" s="24" t="s">
        <v>19</v>
      </c>
      <c r="F408" s="1" t="s">
        <v>129</v>
      </c>
      <c r="G408" s="1" t="s">
        <v>107</v>
      </c>
      <c r="H408" s="3">
        <f t="shared" si="58"/>
        <v>9.25</v>
      </c>
      <c r="I408" s="24" t="str">
        <f t="shared" si="52"/>
        <v>On Time</v>
      </c>
      <c r="J408" s="1" t="str">
        <f t="shared" si="53"/>
        <v>Full Day</v>
      </c>
      <c r="K408" s="1" t="str">
        <f t="shared" si="54"/>
        <v>Full Day</v>
      </c>
      <c r="L408" s="1" t="str">
        <f t="shared" si="55"/>
        <v>✓ Match</v>
      </c>
      <c r="M408" s="24" t="str">
        <f t="shared" si="56"/>
        <v>CLEAN</v>
      </c>
    </row>
    <row r="409" spans="1:13" ht="15" customHeight="1" x14ac:dyDescent="0.35">
      <c r="A409" s="1" t="s">
        <v>130</v>
      </c>
      <c r="B409" s="2" t="s">
        <v>131</v>
      </c>
      <c r="C409" s="1" t="s">
        <v>11</v>
      </c>
      <c r="D409" s="1" t="s">
        <v>36</v>
      </c>
      <c r="E409" s="24" t="s">
        <v>19</v>
      </c>
      <c r="F409" s="1" t="s">
        <v>84</v>
      </c>
      <c r="G409" s="1" t="s">
        <v>39</v>
      </c>
      <c r="H409" s="3">
        <f t="shared" si="58"/>
        <v>9.5</v>
      </c>
      <c r="I409" s="24" t="str">
        <f t="shared" si="52"/>
        <v>Late</v>
      </c>
      <c r="J409" s="1" t="str">
        <f t="shared" si="53"/>
        <v>Full Day</v>
      </c>
      <c r="K409" s="1" t="str">
        <f t="shared" si="54"/>
        <v>Full Day</v>
      </c>
      <c r="L409" s="1" t="str">
        <f t="shared" si="55"/>
        <v>✓ Match</v>
      </c>
      <c r="M409" s="24" t="str">
        <f t="shared" si="56"/>
        <v>CLEAN</v>
      </c>
    </row>
    <row r="410" spans="1:13" ht="15" customHeight="1" x14ac:dyDescent="0.35">
      <c r="A410" s="1" t="s">
        <v>47</v>
      </c>
      <c r="B410" s="2" t="s">
        <v>48</v>
      </c>
      <c r="C410" s="1" t="s">
        <v>18</v>
      </c>
      <c r="D410" s="1" t="s">
        <v>36</v>
      </c>
      <c r="E410" s="24" t="s">
        <v>13</v>
      </c>
      <c r="F410" s="1" t="s">
        <v>14</v>
      </c>
      <c r="G410" s="1" t="s">
        <v>15</v>
      </c>
      <c r="H410" s="3">
        <v>0</v>
      </c>
      <c r="I410" s="24" t="str">
        <f t="shared" si="52"/>
        <v/>
      </c>
      <c r="J410" s="1" t="str">
        <f t="shared" si="53"/>
        <v>Absent</v>
      </c>
      <c r="K410" s="1" t="str">
        <f t="shared" si="54"/>
        <v>N/A</v>
      </c>
      <c r="L410" s="1" t="str">
        <f t="shared" si="55"/>
        <v>⚠ Mismatch</v>
      </c>
      <c r="M410" s="24" t="str">
        <f t="shared" si="56"/>
        <v>REVIEW</v>
      </c>
    </row>
    <row r="411" spans="1:13" ht="15" customHeight="1" x14ac:dyDescent="0.35">
      <c r="A411" s="1" t="s">
        <v>66</v>
      </c>
      <c r="B411" s="2" t="s">
        <v>67</v>
      </c>
      <c r="C411" s="1" t="s">
        <v>68</v>
      </c>
      <c r="D411" s="1" t="s">
        <v>36</v>
      </c>
      <c r="E411" s="24" t="s">
        <v>19</v>
      </c>
      <c r="F411" s="1" t="s">
        <v>137</v>
      </c>
      <c r="G411" s="1" t="s">
        <v>94</v>
      </c>
      <c r="H411" s="3">
        <f t="shared" ref="H411:H416" si="59">IFERROR(MOD(TIMEVALUE(G411)-TIMEVALUE(F411),1)*24,0)</f>
        <v>10.166666666666666</v>
      </c>
      <c r="I411" s="24" t="str">
        <f t="shared" si="52"/>
        <v>Late</v>
      </c>
      <c r="J411" s="1" t="str">
        <f t="shared" si="53"/>
        <v>Full Day</v>
      </c>
      <c r="K411" s="1" t="str">
        <f t="shared" si="54"/>
        <v>Full Day</v>
      </c>
      <c r="L411" s="1" t="str">
        <f t="shared" si="55"/>
        <v>✓ Match</v>
      </c>
      <c r="M411" s="24" t="str">
        <f t="shared" si="56"/>
        <v>CLEAN</v>
      </c>
    </row>
    <row r="412" spans="1:13" ht="15" customHeight="1" x14ac:dyDescent="0.35">
      <c r="A412" s="1" t="s">
        <v>150</v>
      </c>
      <c r="B412" s="2" t="s">
        <v>151</v>
      </c>
      <c r="C412" s="1" t="s">
        <v>68</v>
      </c>
      <c r="D412" s="1" t="s">
        <v>36</v>
      </c>
      <c r="E412" s="24" t="s">
        <v>19</v>
      </c>
      <c r="F412" s="1" t="s">
        <v>128</v>
      </c>
      <c r="G412" s="1" t="s">
        <v>90</v>
      </c>
      <c r="H412" s="3">
        <f t="shared" si="59"/>
        <v>10.500000000000002</v>
      </c>
      <c r="I412" s="24" t="str">
        <f t="shared" si="52"/>
        <v>Late</v>
      </c>
      <c r="J412" s="1" t="str">
        <f t="shared" si="53"/>
        <v>Full Day</v>
      </c>
      <c r="K412" s="1" t="str">
        <f t="shared" si="54"/>
        <v>Full Day</v>
      </c>
      <c r="L412" s="1" t="str">
        <f t="shared" si="55"/>
        <v>✓ Match</v>
      </c>
      <c r="M412" s="24" t="str">
        <f t="shared" si="56"/>
        <v>CLEAN</v>
      </c>
    </row>
    <row r="413" spans="1:13" ht="15" customHeight="1" x14ac:dyDescent="0.35">
      <c r="A413" s="1" t="s">
        <v>82</v>
      </c>
      <c r="B413" s="2" t="s">
        <v>83</v>
      </c>
      <c r="C413" s="1" t="s">
        <v>68</v>
      </c>
      <c r="D413" s="1" t="s">
        <v>36</v>
      </c>
      <c r="E413" s="24" t="s">
        <v>19</v>
      </c>
      <c r="F413" s="1" t="s">
        <v>93</v>
      </c>
      <c r="G413" s="1" t="s">
        <v>44</v>
      </c>
      <c r="H413" s="3">
        <f t="shared" si="59"/>
        <v>8.1666666666666679</v>
      </c>
      <c r="I413" s="24" t="str">
        <f t="shared" si="52"/>
        <v>Late</v>
      </c>
      <c r="J413" s="1" t="str">
        <f t="shared" si="53"/>
        <v>Full Day</v>
      </c>
      <c r="K413" s="1" t="str">
        <f t="shared" si="54"/>
        <v>Full Day</v>
      </c>
      <c r="L413" s="1" t="str">
        <f t="shared" si="55"/>
        <v>✓ Match</v>
      </c>
      <c r="M413" s="24" t="str">
        <f t="shared" si="56"/>
        <v>CLEAN</v>
      </c>
    </row>
    <row r="414" spans="1:13" ht="15" customHeight="1" x14ac:dyDescent="0.35">
      <c r="A414" s="1" t="s">
        <v>76</v>
      </c>
      <c r="B414" s="2" t="s">
        <v>77</v>
      </c>
      <c r="C414" s="1" t="s">
        <v>68</v>
      </c>
      <c r="D414" s="1" t="s">
        <v>36</v>
      </c>
      <c r="E414" s="24" t="s">
        <v>19</v>
      </c>
      <c r="F414" s="1" t="s">
        <v>56</v>
      </c>
      <c r="G414" s="1" t="s">
        <v>97</v>
      </c>
      <c r="H414" s="3">
        <f t="shared" si="59"/>
        <v>10</v>
      </c>
      <c r="I414" s="24" t="str">
        <f t="shared" si="52"/>
        <v>Late</v>
      </c>
      <c r="J414" s="1" t="str">
        <f t="shared" si="53"/>
        <v>Full Day</v>
      </c>
      <c r="K414" s="1" t="str">
        <f t="shared" si="54"/>
        <v>Full Day</v>
      </c>
      <c r="L414" s="1" t="str">
        <f t="shared" si="55"/>
        <v>✓ Match</v>
      </c>
      <c r="M414" s="24" t="str">
        <f t="shared" si="56"/>
        <v>CLEAN</v>
      </c>
    </row>
    <row r="415" spans="1:13" ht="15" customHeight="1" x14ac:dyDescent="0.35">
      <c r="A415" s="1" t="s">
        <v>61</v>
      </c>
      <c r="B415" s="2" t="s">
        <v>62</v>
      </c>
      <c r="C415" s="1" t="s">
        <v>11</v>
      </c>
      <c r="D415" s="1" t="s">
        <v>36</v>
      </c>
      <c r="E415" s="24" t="s">
        <v>19</v>
      </c>
      <c r="F415" s="1" t="s">
        <v>93</v>
      </c>
      <c r="G415" s="1" t="s">
        <v>107</v>
      </c>
      <c r="H415" s="3">
        <f t="shared" si="59"/>
        <v>7.9166666666666652</v>
      </c>
      <c r="I415" s="24" t="str">
        <f t="shared" si="52"/>
        <v>Late</v>
      </c>
      <c r="J415" s="1" t="str">
        <f t="shared" si="53"/>
        <v>Half Day</v>
      </c>
      <c r="K415" s="1" t="str">
        <f t="shared" si="54"/>
        <v>Half Day</v>
      </c>
      <c r="L415" s="1" t="str">
        <f t="shared" si="55"/>
        <v>✓ Match</v>
      </c>
      <c r="M415" s="24" t="str">
        <f t="shared" si="56"/>
        <v>CLEAN</v>
      </c>
    </row>
    <row r="416" spans="1:13" ht="15" customHeight="1" x14ac:dyDescent="0.35">
      <c r="A416" s="1" t="s">
        <v>112</v>
      </c>
      <c r="B416" s="2" t="s">
        <v>113</v>
      </c>
      <c r="C416" s="1" t="s">
        <v>30</v>
      </c>
      <c r="D416" s="1" t="s">
        <v>36</v>
      </c>
      <c r="E416" s="24" t="s">
        <v>19</v>
      </c>
      <c r="F416" s="1" t="s">
        <v>20</v>
      </c>
      <c r="G416" s="1" t="s">
        <v>161</v>
      </c>
      <c r="H416" s="3">
        <f t="shared" si="59"/>
        <v>9.4166666666666696</v>
      </c>
      <c r="I416" s="24" t="str">
        <f t="shared" si="52"/>
        <v>On Time</v>
      </c>
      <c r="J416" s="1" t="str">
        <f t="shared" si="53"/>
        <v>Full Day</v>
      </c>
      <c r="K416" s="1" t="str">
        <f t="shared" si="54"/>
        <v>Full Day</v>
      </c>
      <c r="L416" s="1" t="str">
        <f t="shared" si="55"/>
        <v>✓ Match</v>
      </c>
      <c r="M416" s="24" t="str">
        <f t="shared" si="56"/>
        <v>CLEAN</v>
      </c>
    </row>
    <row r="417" spans="1:13" ht="15" customHeight="1" x14ac:dyDescent="0.35">
      <c r="A417" s="1" t="s">
        <v>22</v>
      </c>
      <c r="B417" s="2" t="s">
        <v>23</v>
      </c>
      <c r="C417" s="1" t="s">
        <v>24</v>
      </c>
      <c r="D417" s="1" t="s">
        <v>36</v>
      </c>
      <c r="E417" s="24" t="s">
        <v>13</v>
      </c>
      <c r="F417" s="1" t="s">
        <v>14</v>
      </c>
      <c r="G417" s="1" t="s">
        <v>15</v>
      </c>
      <c r="H417" s="3">
        <v>0</v>
      </c>
      <c r="I417" s="24" t="str">
        <f t="shared" si="52"/>
        <v/>
      </c>
      <c r="J417" s="1" t="str">
        <f t="shared" si="53"/>
        <v>Absent</v>
      </c>
      <c r="K417" s="1" t="str">
        <f t="shared" si="54"/>
        <v>N/A</v>
      </c>
      <c r="L417" s="1" t="str">
        <f t="shared" si="55"/>
        <v>⚠ Mismatch</v>
      </c>
      <c r="M417" s="24" t="str">
        <f t="shared" si="56"/>
        <v>REVIEW</v>
      </c>
    </row>
    <row r="418" spans="1:13" ht="15" customHeight="1" x14ac:dyDescent="0.35">
      <c r="A418" s="1" t="s">
        <v>110</v>
      </c>
      <c r="B418" s="2" t="s">
        <v>111</v>
      </c>
      <c r="C418" s="1" t="s">
        <v>68</v>
      </c>
      <c r="D418" s="1" t="s">
        <v>36</v>
      </c>
      <c r="E418" s="24" t="s">
        <v>13</v>
      </c>
      <c r="F418" s="1" t="s">
        <v>14</v>
      </c>
      <c r="G418" s="1" t="s">
        <v>15</v>
      </c>
      <c r="H418" s="3">
        <v>0</v>
      </c>
      <c r="I418" s="24" t="str">
        <f t="shared" si="52"/>
        <v/>
      </c>
      <c r="J418" s="1" t="str">
        <f t="shared" si="53"/>
        <v>Absent</v>
      </c>
      <c r="K418" s="1" t="str">
        <f t="shared" si="54"/>
        <v>N/A</v>
      </c>
      <c r="L418" s="1" t="str">
        <f t="shared" si="55"/>
        <v>⚠ Mismatch</v>
      </c>
      <c r="M418" s="24" t="str">
        <f t="shared" si="56"/>
        <v>REVIEW</v>
      </c>
    </row>
    <row r="419" spans="1:13" ht="15" customHeight="1" x14ac:dyDescent="0.35">
      <c r="A419" s="1" t="s">
        <v>57</v>
      </c>
      <c r="B419" s="2" t="s">
        <v>58</v>
      </c>
      <c r="C419" s="1" t="s">
        <v>30</v>
      </c>
      <c r="D419" s="1" t="s">
        <v>36</v>
      </c>
      <c r="E419" s="24" t="s">
        <v>19</v>
      </c>
      <c r="F419" s="1" t="s">
        <v>70</v>
      </c>
      <c r="G419" s="1" t="s">
        <v>39</v>
      </c>
      <c r="H419" s="3">
        <f t="shared" ref="H419:H426" si="60">IFERROR(MOD(TIMEVALUE(G419)-TIMEVALUE(F419),1)*24,0)</f>
        <v>8</v>
      </c>
      <c r="I419" s="24" t="str">
        <f t="shared" si="52"/>
        <v>Late</v>
      </c>
      <c r="J419" s="1" t="str">
        <f t="shared" si="53"/>
        <v>Full Day</v>
      </c>
      <c r="K419" s="1" t="str">
        <f t="shared" si="54"/>
        <v>Full Day</v>
      </c>
      <c r="L419" s="1" t="str">
        <f t="shared" si="55"/>
        <v>✓ Match</v>
      </c>
      <c r="M419" s="24" t="str">
        <f t="shared" si="56"/>
        <v>CLEAN</v>
      </c>
    </row>
    <row r="420" spans="1:13" ht="15" customHeight="1" x14ac:dyDescent="0.35">
      <c r="A420" s="1" t="s">
        <v>79</v>
      </c>
      <c r="B420" s="2" t="s">
        <v>80</v>
      </c>
      <c r="C420" s="1" t="s">
        <v>18</v>
      </c>
      <c r="D420" s="1" t="s">
        <v>36</v>
      </c>
      <c r="E420" s="24" t="s">
        <v>19</v>
      </c>
      <c r="F420" s="1" t="s">
        <v>129</v>
      </c>
      <c r="G420" s="1" t="s">
        <v>44</v>
      </c>
      <c r="H420" s="3">
        <f t="shared" si="60"/>
        <v>9.5</v>
      </c>
      <c r="I420" s="24" t="str">
        <f t="shared" si="52"/>
        <v>On Time</v>
      </c>
      <c r="J420" s="1" t="str">
        <f t="shared" si="53"/>
        <v>Full Day</v>
      </c>
      <c r="K420" s="1" t="str">
        <f t="shared" si="54"/>
        <v>Full Day</v>
      </c>
      <c r="L420" s="1" t="str">
        <f t="shared" si="55"/>
        <v>✓ Match</v>
      </c>
      <c r="M420" s="24" t="str">
        <f t="shared" si="56"/>
        <v>CLEAN</v>
      </c>
    </row>
    <row r="421" spans="1:13" ht="15" customHeight="1" x14ac:dyDescent="0.35">
      <c r="A421" s="1" t="s">
        <v>72</v>
      </c>
      <c r="B421" s="2" t="s">
        <v>73</v>
      </c>
      <c r="C421" s="1" t="s">
        <v>68</v>
      </c>
      <c r="D421" s="1" t="s">
        <v>36</v>
      </c>
      <c r="E421" s="24" t="s">
        <v>19</v>
      </c>
      <c r="F421" s="1" t="s">
        <v>100</v>
      </c>
      <c r="G421" s="1" t="s">
        <v>50</v>
      </c>
      <c r="H421" s="3">
        <f t="shared" si="60"/>
        <v>9.0000000000000018</v>
      </c>
      <c r="I421" s="24" t="str">
        <f t="shared" si="52"/>
        <v>On Time</v>
      </c>
      <c r="J421" s="1" t="str">
        <f t="shared" si="53"/>
        <v>Full Day</v>
      </c>
      <c r="K421" s="1" t="str">
        <f t="shared" si="54"/>
        <v>Full Day</v>
      </c>
      <c r="L421" s="1" t="str">
        <f t="shared" si="55"/>
        <v>✓ Match</v>
      </c>
      <c r="M421" s="24" t="str">
        <f t="shared" si="56"/>
        <v>CLEAN</v>
      </c>
    </row>
    <row r="422" spans="1:13" ht="15" customHeight="1" x14ac:dyDescent="0.35">
      <c r="A422" s="1" t="s">
        <v>124</v>
      </c>
      <c r="B422" s="2" t="s">
        <v>125</v>
      </c>
      <c r="C422" s="1" t="s">
        <v>68</v>
      </c>
      <c r="D422" s="1" t="s">
        <v>36</v>
      </c>
      <c r="E422" s="24" t="s">
        <v>19</v>
      </c>
      <c r="F422" s="1" t="s">
        <v>138</v>
      </c>
      <c r="G422" s="1" t="s">
        <v>39</v>
      </c>
      <c r="H422" s="3">
        <f t="shared" si="60"/>
        <v>9.5833333333333339</v>
      </c>
      <c r="I422" s="24" t="str">
        <f t="shared" si="52"/>
        <v>Late</v>
      </c>
      <c r="J422" s="1" t="str">
        <f t="shared" si="53"/>
        <v>Full Day</v>
      </c>
      <c r="K422" s="1" t="str">
        <f t="shared" si="54"/>
        <v>Full Day</v>
      </c>
      <c r="L422" s="1" t="str">
        <f t="shared" si="55"/>
        <v>✓ Match</v>
      </c>
      <c r="M422" s="24" t="str">
        <f t="shared" si="56"/>
        <v>CLEAN</v>
      </c>
    </row>
    <row r="423" spans="1:13" ht="15" customHeight="1" x14ac:dyDescent="0.35">
      <c r="A423" s="1" t="s">
        <v>57</v>
      </c>
      <c r="B423" s="2" t="s">
        <v>58</v>
      </c>
      <c r="C423" s="1" t="s">
        <v>30</v>
      </c>
      <c r="D423" s="1" t="s">
        <v>59</v>
      </c>
      <c r="E423" s="24" t="s">
        <v>19</v>
      </c>
      <c r="F423" s="1" t="s">
        <v>26</v>
      </c>
      <c r="G423" s="1" t="s">
        <v>60</v>
      </c>
      <c r="H423" s="3">
        <f t="shared" si="60"/>
        <v>8.9166666666666661</v>
      </c>
      <c r="I423" s="24" t="str">
        <f t="shared" si="52"/>
        <v>Late</v>
      </c>
      <c r="J423" s="1" t="str">
        <f t="shared" si="53"/>
        <v>Full Day</v>
      </c>
      <c r="K423" s="1" t="str">
        <f t="shared" si="54"/>
        <v>Full Day</v>
      </c>
      <c r="L423" s="1" t="str">
        <f t="shared" si="55"/>
        <v>✓ Match</v>
      </c>
      <c r="M423" s="24" t="str">
        <f t="shared" si="56"/>
        <v>CLEAN</v>
      </c>
    </row>
    <row r="424" spans="1:13" ht="15" customHeight="1" x14ac:dyDescent="0.35">
      <c r="A424" s="1" t="s">
        <v>91</v>
      </c>
      <c r="B424" s="2" t="s">
        <v>92</v>
      </c>
      <c r="C424" s="1" t="s">
        <v>18</v>
      </c>
      <c r="D424" s="1" t="s">
        <v>59</v>
      </c>
      <c r="E424" s="24" t="s">
        <v>19</v>
      </c>
      <c r="F424" s="1" t="s">
        <v>93</v>
      </c>
      <c r="G424" s="1" t="s">
        <v>94</v>
      </c>
      <c r="H424" s="3">
        <f t="shared" si="60"/>
        <v>8.9166666666666679</v>
      </c>
      <c r="I424" s="24" t="str">
        <f t="shared" si="52"/>
        <v>Late</v>
      </c>
      <c r="J424" s="1" t="str">
        <f t="shared" si="53"/>
        <v>Full Day</v>
      </c>
      <c r="K424" s="1" t="str">
        <f t="shared" si="54"/>
        <v>Full Day</v>
      </c>
      <c r="L424" s="1" t="str">
        <f t="shared" si="55"/>
        <v>✓ Match</v>
      </c>
      <c r="M424" s="24" t="str">
        <f t="shared" si="56"/>
        <v>CLEAN</v>
      </c>
    </row>
    <row r="425" spans="1:13" ht="15" customHeight="1" x14ac:dyDescent="0.35">
      <c r="A425" s="1" t="s">
        <v>66</v>
      </c>
      <c r="B425" s="2" t="s">
        <v>67</v>
      </c>
      <c r="C425" s="1" t="s">
        <v>68</v>
      </c>
      <c r="D425" s="1" t="s">
        <v>59</v>
      </c>
      <c r="E425" s="24" t="s">
        <v>37</v>
      </c>
      <c r="F425" s="1" t="s">
        <v>84</v>
      </c>
      <c r="G425" s="1" t="s">
        <v>44</v>
      </c>
      <c r="H425" s="3">
        <f t="shared" si="60"/>
        <v>9.25</v>
      </c>
      <c r="I425" s="24" t="str">
        <f t="shared" si="52"/>
        <v>Late</v>
      </c>
      <c r="J425" s="1" t="str">
        <f t="shared" si="53"/>
        <v>Full Day</v>
      </c>
      <c r="K425" s="1" t="str">
        <f t="shared" si="54"/>
        <v>Full Day</v>
      </c>
      <c r="L425" s="1" t="str">
        <f t="shared" si="55"/>
        <v>✓ Match</v>
      </c>
      <c r="M425" s="24" t="str">
        <f t="shared" si="56"/>
        <v>CLEAN</v>
      </c>
    </row>
    <row r="426" spans="1:13" ht="15" customHeight="1" x14ac:dyDescent="0.35">
      <c r="A426" s="1" t="s">
        <v>9</v>
      </c>
      <c r="B426" s="2" t="s">
        <v>10</v>
      </c>
      <c r="C426" s="1" t="s">
        <v>11</v>
      </c>
      <c r="D426" s="1" t="s">
        <v>59</v>
      </c>
      <c r="E426" s="24" t="s">
        <v>19</v>
      </c>
      <c r="F426" s="1" t="s">
        <v>56</v>
      </c>
      <c r="G426" s="1" t="s">
        <v>108</v>
      </c>
      <c r="H426" s="3">
        <f t="shared" si="60"/>
        <v>10.25</v>
      </c>
      <c r="I426" s="24" t="str">
        <f t="shared" si="52"/>
        <v>Late</v>
      </c>
      <c r="J426" s="1" t="str">
        <f t="shared" si="53"/>
        <v>Full Day</v>
      </c>
      <c r="K426" s="1" t="str">
        <f t="shared" si="54"/>
        <v>Full Day</v>
      </c>
      <c r="L426" s="1" t="str">
        <f t="shared" si="55"/>
        <v>✓ Match</v>
      </c>
      <c r="M426" s="24" t="str">
        <f t="shared" si="56"/>
        <v>CLEAN</v>
      </c>
    </row>
    <row r="427" spans="1:13" ht="15" customHeight="1" x14ac:dyDescent="0.35">
      <c r="A427" s="1" t="s">
        <v>130</v>
      </c>
      <c r="B427" s="2" t="s">
        <v>131</v>
      </c>
      <c r="C427" s="1" t="s">
        <v>11</v>
      </c>
      <c r="D427" s="1" t="s">
        <v>59</v>
      </c>
      <c r="E427" s="24" t="s">
        <v>13</v>
      </c>
      <c r="F427" s="1" t="s">
        <v>14</v>
      </c>
      <c r="G427" s="1" t="s">
        <v>15</v>
      </c>
      <c r="H427" s="3">
        <v>0</v>
      </c>
      <c r="I427" s="24" t="str">
        <f t="shared" si="52"/>
        <v/>
      </c>
      <c r="J427" s="1" t="str">
        <f t="shared" si="53"/>
        <v>Absent</v>
      </c>
      <c r="K427" s="1" t="str">
        <f t="shared" si="54"/>
        <v>N/A</v>
      </c>
      <c r="L427" s="1" t="str">
        <f t="shared" si="55"/>
        <v>⚠ Mismatch</v>
      </c>
      <c r="M427" s="24" t="str">
        <f t="shared" si="56"/>
        <v>REVIEW</v>
      </c>
    </row>
    <row r="428" spans="1:13" ht="15" customHeight="1" x14ac:dyDescent="0.35">
      <c r="A428" s="1" t="s">
        <v>72</v>
      </c>
      <c r="B428" s="2" t="s">
        <v>73</v>
      </c>
      <c r="C428" s="1" t="s">
        <v>68</v>
      </c>
      <c r="D428" s="1" t="s">
        <v>59</v>
      </c>
      <c r="E428" s="24" t="s">
        <v>19</v>
      </c>
      <c r="F428" s="1" t="s">
        <v>129</v>
      </c>
      <c r="G428" s="1" t="s">
        <v>97</v>
      </c>
      <c r="H428" s="3">
        <f>IFERROR(MOD(TIMEVALUE(G428)-TIMEVALUE(F428),1)*24,0)</f>
        <v>11.25</v>
      </c>
      <c r="I428" s="24" t="str">
        <f t="shared" si="52"/>
        <v>On Time</v>
      </c>
      <c r="J428" s="1" t="str">
        <f t="shared" si="53"/>
        <v>Full Day</v>
      </c>
      <c r="K428" s="1" t="str">
        <f t="shared" si="54"/>
        <v>Full Day</v>
      </c>
      <c r="L428" s="1" t="str">
        <f t="shared" si="55"/>
        <v>✓ Match</v>
      </c>
      <c r="M428" s="24" t="str">
        <f t="shared" si="56"/>
        <v>CLEAN</v>
      </c>
    </row>
    <row r="429" spans="1:13" ht="15" customHeight="1" x14ac:dyDescent="0.35">
      <c r="A429" s="1" t="s">
        <v>124</v>
      </c>
      <c r="B429" s="2" t="s">
        <v>125</v>
      </c>
      <c r="C429" s="1" t="s">
        <v>68</v>
      </c>
      <c r="D429" s="1" t="s">
        <v>59</v>
      </c>
      <c r="E429" s="24" t="s">
        <v>13</v>
      </c>
      <c r="F429" s="1" t="s">
        <v>14</v>
      </c>
      <c r="G429" s="1" t="s">
        <v>15</v>
      </c>
      <c r="H429" s="3">
        <v>0</v>
      </c>
      <c r="I429" s="24" t="str">
        <f t="shared" si="52"/>
        <v/>
      </c>
      <c r="J429" s="1" t="str">
        <f t="shared" si="53"/>
        <v>Absent</v>
      </c>
      <c r="K429" s="1" t="str">
        <f t="shared" si="54"/>
        <v>N/A</v>
      </c>
      <c r="L429" s="1" t="str">
        <f t="shared" si="55"/>
        <v>⚠ Mismatch</v>
      </c>
      <c r="M429" s="24" t="str">
        <f t="shared" si="56"/>
        <v>REVIEW</v>
      </c>
    </row>
    <row r="430" spans="1:13" ht="15" customHeight="1" x14ac:dyDescent="0.35">
      <c r="A430" s="1" t="s">
        <v>22</v>
      </c>
      <c r="B430" s="2" t="s">
        <v>23</v>
      </c>
      <c r="C430" s="1" t="s">
        <v>24</v>
      </c>
      <c r="D430" s="1" t="s">
        <v>59</v>
      </c>
      <c r="E430" s="24" t="s">
        <v>19</v>
      </c>
      <c r="F430" s="1" t="s">
        <v>75</v>
      </c>
      <c r="G430" s="1" t="s">
        <v>141</v>
      </c>
      <c r="H430" s="3">
        <f t="shared" ref="H430:H436" si="61">IFERROR(MOD(TIMEVALUE(G430)-TIMEVALUE(F430),1)*24,0)</f>
        <v>11.083333333333332</v>
      </c>
      <c r="I430" s="24" t="str">
        <f t="shared" si="52"/>
        <v>On Time</v>
      </c>
      <c r="J430" s="1" t="str">
        <f t="shared" si="53"/>
        <v>Full Day</v>
      </c>
      <c r="K430" s="1" t="str">
        <f t="shared" si="54"/>
        <v>Full Day</v>
      </c>
      <c r="L430" s="1" t="str">
        <f t="shared" si="55"/>
        <v>✓ Match</v>
      </c>
      <c r="M430" s="24" t="str">
        <f t="shared" si="56"/>
        <v>CLEAN</v>
      </c>
    </row>
    <row r="431" spans="1:13" ht="15" customHeight="1" x14ac:dyDescent="0.35">
      <c r="A431" s="1" t="s">
        <v>76</v>
      </c>
      <c r="B431" s="2" t="s">
        <v>77</v>
      </c>
      <c r="C431" s="1" t="s">
        <v>68</v>
      </c>
      <c r="D431" s="1" t="s">
        <v>59</v>
      </c>
      <c r="E431" s="24" t="s">
        <v>19</v>
      </c>
      <c r="F431" s="1" t="s">
        <v>20</v>
      </c>
      <c r="G431" s="1" t="s">
        <v>115</v>
      </c>
      <c r="H431" s="3">
        <f t="shared" si="61"/>
        <v>7.25</v>
      </c>
      <c r="I431" s="24" t="str">
        <f t="shared" si="52"/>
        <v>On Time</v>
      </c>
      <c r="J431" s="1" t="str">
        <f t="shared" si="53"/>
        <v>Half Day</v>
      </c>
      <c r="K431" s="1" t="str">
        <f t="shared" si="54"/>
        <v>Half Day</v>
      </c>
      <c r="L431" s="1" t="str">
        <f t="shared" si="55"/>
        <v>✓ Match</v>
      </c>
      <c r="M431" s="24" t="str">
        <f t="shared" si="56"/>
        <v>CLEAN</v>
      </c>
    </row>
    <row r="432" spans="1:13" ht="15" customHeight="1" x14ac:dyDescent="0.35">
      <c r="A432" s="1" t="s">
        <v>53</v>
      </c>
      <c r="B432" s="2" t="s">
        <v>54</v>
      </c>
      <c r="C432" s="1" t="s">
        <v>18</v>
      </c>
      <c r="D432" s="1" t="s">
        <v>59</v>
      </c>
      <c r="E432" s="24" t="s">
        <v>19</v>
      </c>
      <c r="F432" s="1" t="s">
        <v>140</v>
      </c>
      <c r="G432" s="1" t="s">
        <v>153</v>
      </c>
      <c r="H432" s="3">
        <f t="shared" si="61"/>
        <v>10.583333333333332</v>
      </c>
      <c r="I432" s="24" t="str">
        <f t="shared" si="52"/>
        <v>Late</v>
      </c>
      <c r="J432" s="1" t="str">
        <f t="shared" si="53"/>
        <v>Full Day</v>
      </c>
      <c r="K432" s="1" t="str">
        <f t="shared" si="54"/>
        <v>Full Day</v>
      </c>
      <c r="L432" s="1" t="str">
        <f t="shared" si="55"/>
        <v>✓ Match</v>
      </c>
      <c r="M432" s="24" t="str">
        <f t="shared" si="56"/>
        <v>CLEAN</v>
      </c>
    </row>
    <row r="433" spans="1:13" ht="15" customHeight="1" x14ac:dyDescent="0.35">
      <c r="A433" s="1" t="s">
        <v>150</v>
      </c>
      <c r="B433" s="2" t="s">
        <v>151</v>
      </c>
      <c r="C433" s="1" t="s">
        <v>68</v>
      </c>
      <c r="D433" s="1" t="s">
        <v>59</v>
      </c>
      <c r="E433" s="24" t="s">
        <v>19</v>
      </c>
      <c r="F433" s="1" t="s">
        <v>122</v>
      </c>
      <c r="G433" s="1" t="s">
        <v>108</v>
      </c>
      <c r="H433" s="3">
        <f t="shared" si="61"/>
        <v>11.166666666666666</v>
      </c>
      <c r="I433" s="24" t="str">
        <f t="shared" si="52"/>
        <v>Late</v>
      </c>
      <c r="J433" s="1" t="str">
        <f t="shared" si="53"/>
        <v>Full Day</v>
      </c>
      <c r="K433" s="1" t="str">
        <f t="shared" si="54"/>
        <v>Full Day</v>
      </c>
      <c r="L433" s="1" t="str">
        <f t="shared" si="55"/>
        <v>✓ Match</v>
      </c>
      <c r="M433" s="24" t="str">
        <f t="shared" si="56"/>
        <v>CLEAN</v>
      </c>
    </row>
    <row r="434" spans="1:13" ht="15" customHeight="1" x14ac:dyDescent="0.35">
      <c r="A434" s="1" t="s">
        <v>47</v>
      </c>
      <c r="B434" s="2" t="s">
        <v>48</v>
      </c>
      <c r="C434" s="1" t="s">
        <v>18</v>
      </c>
      <c r="D434" s="1" t="s">
        <v>59</v>
      </c>
      <c r="E434" s="24" t="s">
        <v>19</v>
      </c>
      <c r="F434" s="1" t="s">
        <v>152</v>
      </c>
      <c r="G434" s="1" t="s">
        <v>156</v>
      </c>
      <c r="H434" s="3">
        <f t="shared" si="61"/>
        <v>6.9999999999999991</v>
      </c>
      <c r="I434" s="24" t="str">
        <f t="shared" si="52"/>
        <v>Late</v>
      </c>
      <c r="J434" s="1" t="str">
        <f t="shared" si="53"/>
        <v>Half Day</v>
      </c>
      <c r="K434" s="1" t="str">
        <f t="shared" si="54"/>
        <v>Half Day</v>
      </c>
      <c r="L434" s="1" t="str">
        <f t="shared" si="55"/>
        <v>✓ Match</v>
      </c>
      <c r="M434" s="24" t="str">
        <f t="shared" si="56"/>
        <v>CLEAN</v>
      </c>
    </row>
    <row r="435" spans="1:13" ht="15" customHeight="1" x14ac:dyDescent="0.35">
      <c r="A435" s="1" t="s">
        <v>142</v>
      </c>
      <c r="B435" s="2" t="s">
        <v>143</v>
      </c>
      <c r="C435" s="1" t="s">
        <v>18</v>
      </c>
      <c r="D435" s="1" t="s">
        <v>59</v>
      </c>
      <c r="E435" s="24" t="s">
        <v>19</v>
      </c>
      <c r="F435" s="1" t="s">
        <v>32</v>
      </c>
      <c r="G435" s="1" t="s">
        <v>147</v>
      </c>
      <c r="H435" s="3">
        <f t="shared" si="61"/>
        <v>9.1666666666666679</v>
      </c>
      <c r="I435" s="24" t="str">
        <f t="shared" si="52"/>
        <v>On Time</v>
      </c>
      <c r="J435" s="1" t="str">
        <f t="shared" si="53"/>
        <v>Full Day</v>
      </c>
      <c r="K435" s="1" t="str">
        <f t="shared" si="54"/>
        <v>Full Day</v>
      </c>
      <c r="L435" s="1" t="str">
        <f t="shared" si="55"/>
        <v>✓ Match</v>
      </c>
      <c r="M435" s="24" t="str">
        <f t="shared" si="56"/>
        <v>CLEAN</v>
      </c>
    </row>
    <row r="436" spans="1:13" ht="15" customHeight="1" x14ac:dyDescent="0.35">
      <c r="A436" s="1" t="s">
        <v>40</v>
      </c>
      <c r="B436" s="2" t="s">
        <v>41</v>
      </c>
      <c r="C436" s="1" t="s">
        <v>24</v>
      </c>
      <c r="D436" s="1" t="s">
        <v>59</v>
      </c>
      <c r="E436" s="24" t="s">
        <v>19</v>
      </c>
      <c r="F436" s="1" t="s">
        <v>56</v>
      </c>
      <c r="G436" s="1" t="s">
        <v>153</v>
      </c>
      <c r="H436" s="3">
        <f t="shared" si="61"/>
        <v>10.083333333333334</v>
      </c>
      <c r="I436" s="24" t="str">
        <f t="shared" si="52"/>
        <v>Late</v>
      </c>
      <c r="J436" s="1" t="str">
        <f t="shared" si="53"/>
        <v>Full Day</v>
      </c>
      <c r="K436" s="1" t="str">
        <f t="shared" si="54"/>
        <v>Full Day</v>
      </c>
      <c r="L436" s="1" t="str">
        <f t="shared" si="55"/>
        <v>✓ Match</v>
      </c>
      <c r="M436" s="24" t="str">
        <f t="shared" si="56"/>
        <v>CLEAN</v>
      </c>
    </row>
    <row r="437" spans="1:13" ht="15" customHeight="1" x14ac:dyDescent="0.35">
      <c r="A437" s="1" t="s">
        <v>101</v>
      </c>
      <c r="B437" s="2" t="s">
        <v>102</v>
      </c>
      <c r="C437" s="1" t="s">
        <v>30</v>
      </c>
      <c r="D437" s="1" t="s">
        <v>59</v>
      </c>
      <c r="E437" s="24" t="s">
        <v>13</v>
      </c>
      <c r="F437" s="1" t="s">
        <v>14</v>
      </c>
      <c r="G437" s="1" t="s">
        <v>15</v>
      </c>
      <c r="H437" s="3">
        <v>0</v>
      </c>
      <c r="I437" s="24" t="str">
        <f t="shared" si="52"/>
        <v/>
      </c>
      <c r="J437" s="1" t="str">
        <f t="shared" si="53"/>
        <v>Absent</v>
      </c>
      <c r="K437" s="1" t="str">
        <f t="shared" si="54"/>
        <v>N/A</v>
      </c>
      <c r="L437" s="1" t="str">
        <f t="shared" si="55"/>
        <v>⚠ Mismatch</v>
      </c>
      <c r="M437" s="24" t="str">
        <f t="shared" si="56"/>
        <v>REVIEW</v>
      </c>
    </row>
    <row r="438" spans="1:13" ht="15" customHeight="1" x14ac:dyDescent="0.35">
      <c r="A438" s="1" t="s">
        <v>105</v>
      </c>
      <c r="B438" s="2" t="s">
        <v>106</v>
      </c>
      <c r="C438" s="1" t="s">
        <v>11</v>
      </c>
      <c r="D438" s="1" t="s">
        <v>59</v>
      </c>
      <c r="E438" s="24" t="s">
        <v>19</v>
      </c>
      <c r="F438" s="1" t="s">
        <v>26</v>
      </c>
      <c r="G438" s="1" t="s">
        <v>94</v>
      </c>
      <c r="H438" s="3">
        <f>IFERROR(MOD(TIMEVALUE(G438)-TIMEVALUE(F438),1)*24,0)</f>
        <v>9.1666666666666679</v>
      </c>
      <c r="I438" s="24" t="str">
        <f t="shared" si="52"/>
        <v>Late</v>
      </c>
      <c r="J438" s="1" t="str">
        <f t="shared" si="53"/>
        <v>Full Day</v>
      </c>
      <c r="K438" s="1" t="str">
        <f t="shared" si="54"/>
        <v>Full Day</v>
      </c>
      <c r="L438" s="1" t="str">
        <f t="shared" si="55"/>
        <v>✓ Match</v>
      </c>
      <c r="M438" s="24" t="str">
        <f t="shared" si="56"/>
        <v>CLEAN</v>
      </c>
    </row>
    <row r="439" spans="1:13" ht="15" customHeight="1" x14ac:dyDescent="0.35">
      <c r="A439" s="1" t="s">
        <v>117</v>
      </c>
      <c r="B439" s="2" t="s">
        <v>118</v>
      </c>
      <c r="C439" s="1" t="s">
        <v>30</v>
      </c>
      <c r="D439" s="1" t="s">
        <v>59</v>
      </c>
      <c r="E439" s="24" t="s">
        <v>37</v>
      </c>
      <c r="F439" s="1" t="s">
        <v>100</v>
      </c>
      <c r="G439" s="1" t="s">
        <v>50</v>
      </c>
      <c r="H439" s="3">
        <f>IFERROR(MOD(TIMEVALUE(G439)-TIMEVALUE(F439),1)*24,0)</f>
        <v>9.0000000000000018</v>
      </c>
      <c r="I439" s="24" t="str">
        <f t="shared" si="52"/>
        <v>On Time</v>
      </c>
      <c r="J439" s="1" t="str">
        <f t="shared" si="53"/>
        <v>Full Day</v>
      </c>
      <c r="K439" s="1" t="str">
        <f t="shared" si="54"/>
        <v>Full Day</v>
      </c>
      <c r="L439" s="1" t="str">
        <f t="shared" si="55"/>
        <v>✓ Match</v>
      </c>
      <c r="M439" s="24" t="str">
        <f t="shared" si="56"/>
        <v>CLEAN</v>
      </c>
    </row>
    <row r="440" spans="1:13" ht="15" customHeight="1" x14ac:dyDescent="0.35">
      <c r="A440" s="1" t="s">
        <v>158</v>
      </c>
      <c r="B440" s="2" t="s">
        <v>159</v>
      </c>
      <c r="C440" s="1" t="s">
        <v>11</v>
      </c>
      <c r="D440" s="1" t="s">
        <v>59</v>
      </c>
      <c r="E440" s="24" t="s">
        <v>13</v>
      </c>
      <c r="F440" s="1" t="s">
        <v>14</v>
      </c>
      <c r="G440" s="1" t="s">
        <v>15</v>
      </c>
      <c r="H440" s="3">
        <v>0</v>
      </c>
      <c r="I440" s="24" t="str">
        <f t="shared" si="52"/>
        <v/>
      </c>
      <c r="J440" s="1" t="str">
        <f t="shared" si="53"/>
        <v>Absent</v>
      </c>
      <c r="K440" s="1" t="str">
        <f t="shared" si="54"/>
        <v>N/A</v>
      </c>
      <c r="L440" s="1" t="str">
        <f t="shared" si="55"/>
        <v>⚠ Mismatch</v>
      </c>
      <c r="M440" s="24" t="str">
        <f t="shared" si="56"/>
        <v>REVIEW</v>
      </c>
    </row>
    <row r="441" spans="1:13" ht="15" customHeight="1" x14ac:dyDescent="0.35">
      <c r="A441" s="1" t="s">
        <v>98</v>
      </c>
      <c r="B441" s="2" t="s">
        <v>99</v>
      </c>
      <c r="C441" s="1" t="s">
        <v>18</v>
      </c>
      <c r="D441" s="1" t="s">
        <v>59</v>
      </c>
      <c r="E441" s="24" t="s">
        <v>19</v>
      </c>
      <c r="F441" s="1" t="s">
        <v>129</v>
      </c>
      <c r="G441" s="1" t="s">
        <v>165</v>
      </c>
      <c r="H441" s="3">
        <f>IFERROR(MOD(TIMEVALUE(G441)-TIMEVALUE(F441),1)*24,0)</f>
        <v>7.2500000000000009</v>
      </c>
      <c r="I441" s="24" t="str">
        <f t="shared" si="52"/>
        <v>On Time</v>
      </c>
      <c r="J441" s="1" t="str">
        <f t="shared" si="53"/>
        <v>Half Day</v>
      </c>
      <c r="K441" s="1" t="str">
        <f t="shared" si="54"/>
        <v>Half Day</v>
      </c>
      <c r="L441" s="1" t="str">
        <f t="shared" si="55"/>
        <v>✓ Match</v>
      </c>
      <c r="M441" s="24" t="str">
        <f t="shared" si="56"/>
        <v>CLEAN</v>
      </c>
    </row>
    <row r="442" spans="1:13" ht="15" customHeight="1" x14ac:dyDescent="0.35">
      <c r="A442" s="1" t="s">
        <v>110</v>
      </c>
      <c r="B442" s="2" t="s">
        <v>111</v>
      </c>
      <c r="C442" s="1" t="s">
        <v>68</v>
      </c>
      <c r="D442" s="1" t="s">
        <v>59</v>
      </c>
      <c r="E442" s="24" t="s">
        <v>19</v>
      </c>
      <c r="F442" s="1" t="s">
        <v>163</v>
      </c>
      <c r="G442" s="1" t="s">
        <v>78</v>
      </c>
      <c r="H442" s="3">
        <f>IFERROR(MOD(TIMEVALUE(G442)-TIMEVALUE(F442),1)*24,0)</f>
        <v>9.4166666666666661</v>
      </c>
      <c r="I442" s="24" t="str">
        <f t="shared" si="52"/>
        <v>On Time</v>
      </c>
      <c r="J442" s="1" t="str">
        <f t="shared" si="53"/>
        <v>Full Day</v>
      </c>
      <c r="K442" s="1" t="str">
        <f t="shared" si="54"/>
        <v>Full Day</v>
      </c>
      <c r="L442" s="1" t="str">
        <f t="shared" si="55"/>
        <v>✓ Match</v>
      </c>
      <c r="M442" s="24" t="str">
        <f t="shared" si="56"/>
        <v>CLEAN</v>
      </c>
    </row>
    <row r="443" spans="1:13" ht="15" customHeight="1" x14ac:dyDescent="0.35">
      <c r="A443" s="1" t="s">
        <v>45</v>
      </c>
      <c r="B443" s="2" t="s">
        <v>46</v>
      </c>
      <c r="C443" s="1" t="s">
        <v>18</v>
      </c>
      <c r="D443" s="1" t="s">
        <v>59</v>
      </c>
      <c r="E443" s="24" t="s">
        <v>19</v>
      </c>
      <c r="F443" s="1" t="s">
        <v>84</v>
      </c>
      <c r="G443" s="1" t="s">
        <v>94</v>
      </c>
      <c r="H443" s="3">
        <f>IFERROR(MOD(TIMEVALUE(G443)-TIMEVALUE(F443),1)*24,0)</f>
        <v>10</v>
      </c>
      <c r="I443" s="24" t="str">
        <f t="shared" si="52"/>
        <v>Late</v>
      </c>
      <c r="J443" s="1" t="str">
        <f t="shared" si="53"/>
        <v>Full Day</v>
      </c>
      <c r="K443" s="1" t="str">
        <f t="shared" si="54"/>
        <v>Full Day</v>
      </c>
      <c r="L443" s="1" t="str">
        <f t="shared" si="55"/>
        <v>✓ Match</v>
      </c>
      <c r="M443" s="24" t="str">
        <f t="shared" si="56"/>
        <v>CLEAN</v>
      </c>
    </row>
    <row r="444" spans="1:13" ht="15" customHeight="1" x14ac:dyDescent="0.35">
      <c r="A444" s="1" t="s">
        <v>61</v>
      </c>
      <c r="B444" s="2" t="s">
        <v>62</v>
      </c>
      <c r="C444" s="1" t="s">
        <v>11</v>
      </c>
      <c r="D444" s="1" t="s">
        <v>59</v>
      </c>
      <c r="E444" s="24" t="s">
        <v>13</v>
      </c>
      <c r="F444" s="1" t="s">
        <v>14</v>
      </c>
      <c r="G444" s="1" t="s">
        <v>15</v>
      </c>
      <c r="H444" s="3">
        <v>0</v>
      </c>
      <c r="I444" s="24" t="str">
        <f t="shared" si="52"/>
        <v/>
      </c>
      <c r="J444" s="1" t="str">
        <f t="shared" si="53"/>
        <v>Absent</v>
      </c>
      <c r="K444" s="1" t="str">
        <f t="shared" si="54"/>
        <v>N/A</v>
      </c>
      <c r="L444" s="1" t="str">
        <f t="shared" si="55"/>
        <v>⚠ Mismatch</v>
      </c>
      <c r="M444" s="24" t="str">
        <f t="shared" si="56"/>
        <v>REVIEW</v>
      </c>
    </row>
    <row r="445" spans="1:13" ht="15" customHeight="1" x14ac:dyDescent="0.35">
      <c r="A445" s="1" t="s">
        <v>28</v>
      </c>
      <c r="B445" s="2" t="s">
        <v>29</v>
      </c>
      <c r="C445" s="1" t="s">
        <v>30</v>
      </c>
      <c r="D445" s="1" t="s">
        <v>59</v>
      </c>
      <c r="E445" s="24" t="s">
        <v>19</v>
      </c>
      <c r="F445" s="1" t="s">
        <v>137</v>
      </c>
      <c r="G445" s="1" t="s">
        <v>123</v>
      </c>
      <c r="H445" s="3">
        <f t="shared" ref="H445:H460" si="62">IFERROR(MOD(TIMEVALUE(G445)-TIMEVALUE(F445),1)*24,0)</f>
        <v>11.083333333333332</v>
      </c>
      <c r="I445" s="24" t="str">
        <f t="shared" si="52"/>
        <v>Late</v>
      </c>
      <c r="J445" s="1" t="str">
        <f t="shared" si="53"/>
        <v>Full Day</v>
      </c>
      <c r="K445" s="1" t="str">
        <f t="shared" si="54"/>
        <v>Full Day</v>
      </c>
      <c r="L445" s="1" t="str">
        <f t="shared" si="55"/>
        <v>✓ Match</v>
      </c>
      <c r="M445" s="24" t="str">
        <f t="shared" si="56"/>
        <v>CLEAN</v>
      </c>
    </row>
    <row r="446" spans="1:13" ht="15" customHeight="1" x14ac:dyDescent="0.35">
      <c r="A446" s="1" t="s">
        <v>120</v>
      </c>
      <c r="B446" s="2" t="s">
        <v>121</v>
      </c>
      <c r="C446" s="1" t="s">
        <v>11</v>
      </c>
      <c r="D446" s="1" t="s">
        <v>59</v>
      </c>
      <c r="E446" s="24" t="s">
        <v>19</v>
      </c>
      <c r="F446" s="1" t="s">
        <v>138</v>
      </c>
      <c r="G446" s="1" t="s">
        <v>165</v>
      </c>
      <c r="H446" s="3">
        <f t="shared" si="62"/>
        <v>7.0833333333333348</v>
      </c>
      <c r="I446" s="24" t="str">
        <f t="shared" si="52"/>
        <v>Late</v>
      </c>
      <c r="J446" s="1" t="str">
        <f t="shared" si="53"/>
        <v>Half Day</v>
      </c>
      <c r="K446" s="1" t="str">
        <f t="shared" si="54"/>
        <v>Half Day</v>
      </c>
      <c r="L446" s="1" t="str">
        <f t="shared" si="55"/>
        <v>✓ Match</v>
      </c>
      <c r="M446" s="24" t="str">
        <f t="shared" si="56"/>
        <v>CLEAN</v>
      </c>
    </row>
    <row r="447" spans="1:13" ht="15" customHeight="1" x14ac:dyDescent="0.35">
      <c r="A447" s="1" t="s">
        <v>16</v>
      </c>
      <c r="B447" s="2" t="s">
        <v>17</v>
      </c>
      <c r="C447" s="1" t="s">
        <v>18</v>
      </c>
      <c r="D447" s="1" t="s">
        <v>59</v>
      </c>
      <c r="E447" s="24" t="s">
        <v>19</v>
      </c>
      <c r="F447" s="1" t="s">
        <v>75</v>
      </c>
      <c r="G447" s="1" t="s">
        <v>162</v>
      </c>
      <c r="H447" s="3">
        <f t="shared" si="62"/>
        <v>7.0833333333333348</v>
      </c>
      <c r="I447" s="24" t="str">
        <f t="shared" si="52"/>
        <v>On Time</v>
      </c>
      <c r="J447" s="1" t="str">
        <f t="shared" si="53"/>
        <v>Half Day</v>
      </c>
      <c r="K447" s="1" t="str">
        <f t="shared" si="54"/>
        <v>Half Day</v>
      </c>
      <c r="L447" s="1" t="str">
        <f t="shared" si="55"/>
        <v>✓ Match</v>
      </c>
      <c r="M447" s="24" t="str">
        <f t="shared" si="56"/>
        <v>CLEAN</v>
      </c>
    </row>
    <row r="448" spans="1:13" ht="15" customHeight="1" x14ac:dyDescent="0.35">
      <c r="A448" s="1" t="s">
        <v>82</v>
      </c>
      <c r="B448" s="2" t="s">
        <v>83</v>
      </c>
      <c r="C448" s="1" t="s">
        <v>68</v>
      </c>
      <c r="D448" s="1" t="s">
        <v>59</v>
      </c>
      <c r="E448" s="24" t="s">
        <v>19</v>
      </c>
      <c r="F448" s="1" t="s">
        <v>89</v>
      </c>
      <c r="G448" s="1" t="s">
        <v>153</v>
      </c>
      <c r="H448" s="3">
        <f t="shared" si="62"/>
        <v>10.333333333333332</v>
      </c>
      <c r="I448" s="24" t="str">
        <f t="shared" si="52"/>
        <v>Late</v>
      </c>
      <c r="J448" s="1" t="str">
        <f t="shared" si="53"/>
        <v>Full Day</v>
      </c>
      <c r="K448" s="1" t="str">
        <f t="shared" si="54"/>
        <v>Full Day</v>
      </c>
      <c r="L448" s="1" t="str">
        <f t="shared" si="55"/>
        <v>✓ Match</v>
      </c>
      <c r="M448" s="24" t="str">
        <f t="shared" si="56"/>
        <v>CLEAN</v>
      </c>
    </row>
    <row r="449" spans="1:13" ht="15" customHeight="1" x14ac:dyDescent="0.35">
      <c r="A449" s="1" t="s">
        <v>79</v>
      </c>
      <c r="B449" s="2" t="s">
        <v>80</v>
      </c>
      <c r="C449" s="1" t="s">
        <v>18</v>
      </c>
      <c r="D449" s="1" t="s">
        <v>59</v>
      </c>
      <c r="E449" s="24" t="s">
        <v>19</v>
      </c>
      <c r="F449" s="1" t="s">
        <v>43</v>
      </c>
      <c r="G449" s="1" t="s">
        <v>21</v>
      </c>
      <c r="H449" s="3">
        <f t="shared" si="62"/>
        <v>11</v>
      </c>
      <c r="I449" s="24" t="str">
        <f t="shared" si="52"/>
        <v>On Time</v>
      </c>
      <c r="J449" s="1" t="str">
        <f t="shared" si="53"/>
        <v>Full Day</v>
      </c>
      <c r="K449" s="1" t="str">
        <f t="shared" si="54"/>
        <v>Full Day</v>
      </c>
      <c r="L449" s="1" t="str">
        <f t="shared" si="55"/>
        <v>✓ Match</v>
      </c>
      <c r="M449" s="24" t="str">
        <f t="shared" si="56"/>
        <v>CLEAN</v>
      </c>
    </row>
    <row r="450" spans="1:13" ht="15" customHeight="1" x14ac:dyDescent="0.35">
      <c r="A450" s="1" t="s">
        <v>112</v>
      </c>
      <c r="B450" s="2" t="s">
        <v>113</v>
      </c>
      <c r="C450" s="1" t="s">
        <v>30</v>
      </c>
      <c r="D450" s="1" t="s">
        <v>59</v>
      </c>
      <c r="E450" s="24" t="s">
        <v>19</v>
      </c>
      <c r="F450" s="1" t="s">
        <v>32</v>
      </c>
      <c r="G450" s="1" t="s">
        <v>144</v>
      </c>
      <c r="H450" s="3">
        <f t="shared" si="62"/>
        <v>8.3333333333333339</v>
      </c>
      <c r="I450" s="24" t="str">
        <f t="shared" si="52"/>
        <v>On Time</v>
      </c>
      <c r="J450" s="1" t="str">
        <f t="shared" si="53"/>
        <v>Full Day</v>
      </c>
      <c r="K450" s="1" t="str">
        <f t="shared" si="54"/>
        <v>Full Day</v>
      </c>
      <c r="L450" s="1" t="str">
        <f t="shared" si="55"/>
        <v>✓ Match</v>
      </c>
      <c r="M450" s="24" t="str">
        <f t="shared" si="56"/>
        <v>CLEAN</v>
      </c>
    </row>
    <row r="451" spans="1:13" ht="15" customHeight="1" x14ac:dyDescent="0.35">
      <c r="A451" s="1" t="s">
        <v>134</v>
      </c>
      <c r="B451" s="2" t="s">
        <v>135</v>
      </c>
      <c r="C451" s="1" t="s">
        <v>68</v>
      </c>
      <c r="D451" s="1" t="s">
        <v>59</v>
      </c>
      <c r="E451" s="24" t="s">
        <v>19</v>
      </c>
      <c r="F451" s="1" t="s">
        <v>89</v>
      </c>
      <c r="G451" s="1" t="s">
        <v>153</v>
      </c>
      <c r="H451" s="3">
        <f t="shared" si="62"/>
        <v>10.333333333333332</v>
      </c>
      <c r="I451" s="24" t="str">
        <f t="shared" ref="I451:I514" si="63">IF(F451="No Login","",IF(TIMEVALUE(F451)&gt;TIMEVALUE("09:00"),"Late","On Time"))</f>
        <v>Late</v>
      </c>
      <c r="J451" s="1" t="str">
        <f t="shared" ref="J451:J514" si="64">IF(E451="Absent","Absent",IF(H451&gt;=8,"Full Day",IF(H451&gt;=4,"Half Day","Short")))</f>
        <v>Full Day</v>
      </c>
      <c r="K451" s="1" t="str">
        <f t="shared" ref="K451:K514" si="65">IF(E451="Absent","N/A",IF(H451&gt;=8,"Full Day",IF(H451&gt;=4,"Half Day","Short")))</f>
        <v>Full Day</v>
      </c>
      <c r="L451" s="1" t="str">
        <f t="shared" ref="L451:L514" si="66">IF(J451=K451,"✓ Match","⚠ Mismatch")</f>
        <v>✓ Match</v>
      </c>
      <c r="M451" s="24" t="str">
        <f t="shared" ref="M451:M514" si="67">IF(AND(J451=K451,OR(E451="Present",E451="Work From Home",E451="Absent")),"CLEAN","REVIEW")</f>
        <v>CLEAN</v>
      </c>
    </row>
    <row r="452" spans="1:13" ht="15" customHeight="1" x14ac:dyDescent="0.35">
      <c r="A452" s="1" t="s">
        <v>95</v>
      </c>
      <c r="B452" s="2" t="s">
        <v>96</v>
      </c>
      <c r="C452" s="1" t="s">
        <v>68</v>
      </c>
      <c r="D452" s="1" t="s">
        <v>59</v>
      </c>
      <c r="E452" s="24" t="s">
        <v>19</v>
      </c>
      <c r="F452" s="1" t="s">
        <v>20</v>
      </c>
      <c r="G452" s="1" t="s">
        <v>39</v>
      </c>
      <c r="H452" s="3">
        <f t="shared" si="62"/>
        <v>10</v>
      </c>
      <c r="I452" s="24" t="str">
        <f t="shared" si="63"/>
        <v>On Time</v>
      </c>
      <c r="J452" s="1" t="str">
        <f t="shared" si="64"/>
        <v>Full Day</v>
      </c>
      <c r="K452" s="1" t="str">
        <f t="shared" si="65"/>
        <v>Full Day</v>
      </c>
      <c r="L452" s="1" t="str">
        <f t="shared" si="66"/>
        <v>✓ Match</v>
      </c>
      <c r="M452" s="24" t="str">
        <f t="shared" si="67"/>
        <v>CLEAN</v>
      </c>
    </row>
    <row r="453" spans="1:13" ht="15" customHeight="1" x14ac:dyDescent="0.35">
      <c r="A453" s="1" t="s">
        <v>22</v>
      </c>
      <c r="B453" s="2" t="s">
        <v>23</v>
      </c>
      <c r="C453" s="1" t="s">
        <v>24</v>
      </c>
      <c r="D453" s="1" t="s">
        <v>33</v>
      </c>
      <c r="E453" s="24" t="s">
        <v>19</v>
      </c>
      <c r="F453" s="1" t="s">
        <v>34</v>
      </c>
      <c r="G453" s="1" t="s">
        <v>35</v>
      </c>
      <c r="H453" s="3">
        <f t="shared" si="62"/>
        <v>7.4166666666666679</v>
      </c>
      <c r="I453" s="24" t="str">
        <f t="shared" si="63"/>
        <v>Late</v>
      </c>
      <c r="J453" s="1" t="str">
        <f t="shared" si="64"/>
        <v>Half Day</v>
      </c>
      <c r="K453" s="1" t="str">
        <f t="shared" si="65"/>
        <v>Half Day</v>
      </c>
      <c r="L453" s="1" t="str">
        <f t="shared" si="66"/>
        <v>✓ Match</v>
      </c>
      <c r="M453" s="24" t="str">
        <f t="shared" si="67"/>
        <v>CLEAN</v>
      </c>
    </row>
    <row r="454" spans="1:13" ht="15" customHeight="1" x14ac:dyDescent="0.35">
      <c r="A454" s="1" t="s">
        <v>101</v>
      </c>
      <c r="B454" s="2" t="s">
        <v>102</v>
      </c>
      <c r="C454" s="1" t="s">
        <v>30</v>
      </c>
      <c r="D454" s="1" t="s">
        <v>33</v>
      </c>
      <c r="E454" s="24" t="s">
        <v>19</v>
      </c>
      <c r="F454" s="1" t="s">
        <v>138</v>
      </c>
      <c r="G454" s="1" t="s">
        <v>21</v>
      </c>
      <c r="H454" s="3">
        <f t="shared" si="62"/>
        <v>10.333333333333334</v>
      </c>
      <c r="I454" s="24" t="str">
        <f t="shared" si="63"/>
        <v>Late</v>
      </c>
      <c r="J454" s="1" t="str">
        <f t="shared" si="64"/>
        <v>Full Day</v>
      </c>
      <c r="K454" s="1" t="str">
        <f t="shared" si="65"/>
        <v>Full Day</v>
      </c>
      <c r="L454" s="1" t="str">
        <f t="shared" si="66"/>
        <v>✓ Match</v>
      </c>
      <c r="M454" s="24" t="str">
        <f t="shared" si="67"/>
        <v>CLEAN</v>
      </c>
    </row>
    <row r="455" spans="1:13" ht="15" customHeight="1" x14ac:dyDescent="0.35">
      <c r="A455" s="1" t="s">
        <v>98</v>
      </c>
      <c r="B455" s="2" t="s">
        <v>99</v>
      </c>
      <c r="C455" s="1" t="s">
        <v>18</v>
      </c>
      <c r="D455" s="1" t="s">
        <v>33</v>
      </c>
      <c r="E455" s="24" t="s">
        <v>19</v>
      </c>
      <c r="F455" s="1" t="s">
        <v>20</v>
      </c>
      <c r="G455" s="1" t="s">
        <v>71</v>
      </c>
      <c r="H455" s="3">
        <f t="shared" si="62"/>
        <v>11</v>
      </c>
      <c r="I455" s="24" t="str">
        <f t="shared" si="63"/>
        <v>On Time</v>
      </c>
      <c r="J455" s="1" t="str">
        <f t="shared" si="64"/>
        <v>Full Day</v>
      </c>
      <c r="K455" s="1" t="str">
        <f t="shared" si="65"/>
        <v>Full Day</v>
      </c>
      <c r="L455" s="1" t="str">
        <f t="shared" si="66"/>
        <v>✓ Match</v>
      </c>
      <c r="M455" s="24" t="str">
        <f t="shared" si="67"/>
        <v>CLEAN</v>
      </c>
    </row>
    <row r="456" spans="1:13" ht="15" customHeight="1" x14ac:dyDescent="0.35">
      <c r="A456" s="1" t="s">
        <v>57</v>
      </c>
      <c r="B456" s="2" t="s">
        <v>58</v>
      </c>
      <c r="C456" s="1" t="s">
        <v>30</v>
      </c>
      <c r="D456" s="1" t="s">
        <v>33</v>
      </c>
      <c r="E456" s="24" t="s">
        <v>19</v>
      </c>
      <c r="F456" s="1" t="s">
        <v>20</v>
      </c>
      <c r="G456" s="1" t="s">
        <v>97</v>
      </c>
      <c r="H456" s="3">
        <f t="shared" si="62"/>
        <v>11.5</v>
      </c>
      <c r="I456" s="24" t="str">
        <f t="shared" si="63"/>
        <v>On Time</v>
      </c>
      <c r="J456" s="1" t="str">
        <f t="shared" si="64"/>
        <v>Full Day</v>
      </c>
      <c r="K456" s="1" t="str">
        <f t="shared" si="65"/>
        <v>Full Day</v>
      </c>
      <c r="L456" s="1" t="str">
        <f t="shared" si="66"/>
        <v>✓ Match</v>
      </c>
      <c r="M456" s="24" t="str">
        <f t="shared" si="67"/>
        <v>CLEAN</v>
      </c>
    </row>
    <row r="457" spans="1:13" ht="15" customHeight="1" x14ac:dyDescent="0.35">
      <c r="A457" s="1" t="s">
        <v>61</v>
      </c>
      <c r="B457" s="2" t="s">
        <v>62</v>
      </c>
      <c r="C457" s="1" t="s">
        <v>11</v>
      </c>
      <c r="D457" s="1" t="s">
        <v>33</v>
      </c>
      <c r="E457" s="24" t="s">
        <v>19</v>
      </c>
      <c r="F457" s="1" t="s">
        <v>87</v>
      </c>
      <c r="G457" s="1" t="s">
        <v>39</v>
      </c>
      <c r="H457" s="3">
        <f t="shared" si="62"/>
        <v>7.75</v>
      </c>
      <c r="I457" s="24" t="str">
        <f t="shared" si="63"/>
        <v>Late</v>
      </c>
      <c r="J457" s="1" t="str">
        <f t="shared" si="64"/>
        <v>Half Day</v>
      </c>
      <c r="K457" s="1" t="str">
        <f t="shared" si="65"/>
        <v>Half Day</v>
      </c>
      <c r="L457" s="1" t="str">
        <f t="shared" si="66"/>
        <v>✓ Match</v>
      </c>
      <c r="M457" s="24" t="str">
        <f t="shared" si="67"/>
        <v>CLEAN</v>
      </c>
    </row>
    <row r="458" spans="1:13" ht="15" customHeight="1" x14ac:dyDescent="0.35">
      <c r="A458" s="1" t="s">
        <v>142</v>
      </c>
      <c r="B458" s="2" t="s">
        <v>143</v>
      </c>
      <c r="C458" s="1" t="s">
        <v>18</v>
      </c>
      <c r="D458" s="1" t="s">
        <v>33</v>
      </c>
      <c r="E458" s="24" t="s">
        <v>19</v>
      </c>
      <c r="F458" s="1" t="s">
        <v>26</v>
      </c>
      <c r="G458" s="1" t="s">
        <v>108</v>
      </c>
      <c r="H458" s="3">
        <f t="shared" si="62"/>
        <v>10.416666666666666</v>
      </c>
      <c r="I458" s="24" t="str">
        <f t="shared" si="63"/>
        <v>Late</v>
      </c>
      <c r="J458" s="1" t="str">
        <f t="shared" si="64"/>
        <v>Full Day</v>
      </c>
      <c r="K458" s="1" t="str">
        <f t="shared" si="65"/>
        <v>Full Day</v>
      </c>
      <c r="L458" s="1" t="str">
        <f t="shared" si="66"/>
        <v>✓ Match</v>
      </c>
      <c r="M458" s="24" t="str">
        <f t="shared" si="67"/>
        <v>CLEAN</v>
      </c>
    </row>
    <row r="459" spans="1:13" ht="15" customHeight="1" x14ac:dyDescent="0.35">
      <c r="A459" s="1" t="s">
        <v>91</v>
      </c>
      <c r="B459" s="2" t="s">
        <v>92</v>
      </c>
      <c r="C459" s="1" t="s">
        <v>18</v>
      </c>
      <c r="D459" s="1" t="s">
        <v>33</v>
      </c>
      <c r="E459" s="24" t="s">
        <v>19</v>
      </c>
      <c r="F459" s="1" t="s">
        <v>137</v>
      </c>
      <c r="G459" s="1" t="s">
        <v>27</v>
      </c>
      <c r="H459" s="3">
        <f t="shared" si="62"/>
        <v>11.666666666666666</v>
      </c>
      <c r="I459" s="24" t="str">
        <f t="shared" si="63"/>
        <v>Late</v>
      </c>
      <c r="J459" s="1" t="str">
        <f t="shared" si="64"/>
        <v>Full Day</v>
      </c>
      <c r="K459" s="1" t="str">
        <f t="shared" si="65"/>
        <v>Full Day</v>
      </c>
      <c r="L459" s="1" t="str">
        <f t="shared" si="66"/>
        <v>✓ Match</v>
      </c>
      <c r="M459" s="24" t="str">
        <f t="shared" si="67"/>
        <v>CLEAN</v>
      </c>
    </row>
    <row r="460" spans="1:13" ht="15" customHeight="1" x14ac:dyDescent="0.35">
      <c r="A460" s="1" t="s">
        <v>76</v>
      </c>
      <c r="B460" s="2" t="s">
        <v>77</v>
      </c>
      <c r="C460" s="1" t="s">
        <v>68</v>
      </c>
      <c r="D460" s="1" t="s">
        <v>33</v>
      </c>
      <c r="E460" s="24" t="s">
        <v>37</v>
      </c>
      <c r="F460" s="1" t="s">
        <v>140</v>
      </c>
      <c r="G460" s="1" t="s">
        <v>44</v>
      </c>
      <c r="H460" s="3">
        <f t="shared" si="62"/>
        <v>8.75</v>
      </c>
      <c r="I460" s="24" t="str">
        <f t="shared" si="63"/>
        <v>Late</v>
      </c>
      <c r="J460" s="1" t="str">
        <f t="shared" si="64"/>
        <v>Full Day</v>
      </c>
      <c r="K460" s="1" t="str">
        <f t="shared" si="65"/>
        <v>Full Day</v>
      </c>
      <c r="L460" s="1" t="str">
        <f t="shared" si="66"/>
        <v>✓ Match</v>
      </c>
      <c r="M460" s="24" t="str">
        <f t="shared" si="67"/>
        <v>CLEAN</v>
      </c>
    </row>
    <row r="461" spans="1:13" ht="15" customHeight="1" x14ac:dyDescent="0.35">
      <c r="A461" s="1" t="s">
        <v>40</v>
      </c>
      <c r="B461" s="2" t="s">
        <v>41</v>
      </c>
      <c r="C461" s="1" t="s">
        <v>24</v>
      </c>
      <c r="D461" s="1" t="s">
        <v>33</v>
      </c>
      <c r="E461" s="24" t="s">
        <v>13</v>
      </c>
      <c r="F461" s="1" t="s">
        <v>14</v>
      </c>
      <c r="G461" s="1" t="s">
        <v>15</v>
      </c>
      <c r="H461" s="3">
        <v>0</v>
      </c>
      <c r="I461" s="24" t="str">
        <f t="shared" si="63"/>
        <v/>
      </c>
      <c r="J461" s="1" t="str">
        <f t="shared" si="64"/>
        <v>Absent</v>
      </c>
      <c r="K461" s="1" t="str">
        <f t="shared" si="65"/>
        <v>N/A</v>
      </c>
      <c r="L461" s="1" t="str">
        <f t="shared" si="66"/>
        <v>⚠ Mismatch</v>
      </c>
      <c r="M461" s="24" t="str">
        <f t="shared" si="67"/>
        <v>REVIEW</v>
      </c>
    </row>
    <row r="462" spans="1:13" ht="15" customHeight="1" x14ac:dyDescent="0.35">
      <c r="A462" s="1" t="s">
        <v>28</v>
      </c>
      <c r="B462" s="2" t="s">
        <v>29</v>
      </c>
      <c r="C462" s="1" t="s">
        <v>30</v>
      </c>
      <c r="D462" s="1" t="s">
        <v>33</v>
      </c>
      <c r="E462" s="24" t="s">
        <v>19</v>
      </c>
      <c r="F462" s="1" t="s">
        <v>84</v>
      </c>
      <c r="G462" s="1" t="s">
        <v>39</v>
      </c>
      <c r="H462" s="3">
        <f>IFERROR(MOD(TIMEVALUE(G462)-TIMEVALUE(F462),1)*24,0)</f>
        <v>9.5</v>
      </c>
      <c r="I462" s="24" t="str">
        <f t="shared" si="63"/>
        <v>Late</v>
      </c>
      <c r="J462" s="1" t="str">
        <f t="shared" si="64"/>
        <v>Full Day</v>
      </c>
      <c r="K462" s="1" t="str">
        <f t="shared" si="65"/>
        <v>Full Day</v>
      </c>
      <c r="L462" s="1" t="str">
        <f t="shared" si="66"/>
        <v>✓ Match</v>
      </c>
      <c r="M462" s="24" t="str">
        <f t="shared" si="67"/>
        <v>CLEAN</v>
      </c>
    </row>
    <row r="463" spans="1:13" ht="15" customHeight="1" x14ac:dyDescent="0.35">
      <c r="A463" s="1" t="s">
        <v>47</v>
      </c>
      <c r="B463" s="2" t="s">
        <v>48</v>
      </c>
      <c r="C463" s="1" t="s">
        <v>18</v>
      </c>
      <c r="D463" s="1" t="s">
        <v>33</v>
      </c>
      <c r="E463" s="24" t="s">
        <v>19</v>
      </c>
      <c r="F463" s="1" t="s">
        <v>56</v>
      </c>
      <c r="G463" s="1" t="s">
        <v>39</v>
      </c>
      <c r="H463" s="3">
        <f>IFERROR(MOD(TIMEVALUE(G463)-TIMEVALUE(F463),1)*24,0)</f>
        <v>8.5</v>
      </c>
      <c r="I463" s="24" t="str">
        <f t="shared" si="63"/>
        <v>Late</v>
      </c>
      <c r="J463" s="1" t="str">
        <f t="shared" si="64"/>
        <v>Full Day</v>
      </c>
      <c r="K463" s="1" t="str">
        <f t="shared" si="65"/>
        <v>Full Day</v>
      </c>
      <c r="L463" s="1" t="str">
        <f t="shared" si="66"/>
        <v>✓ Match</v>
      </c>
      <c r="M463" s="24" t="str">
        <f t="shared" si="67"/>
        <v>CLEAN</v>
      </c>
    </row>
    <row r="464" spans="1:13" ht="15" customHeight="1" x14ac:dyDescent="0.35">
      <c r="A464" s="1" t="s">
        <v>95</v>
      </c>
      <c r="B464" s="2" t="s">
        <v>96</v>
      </c>
      <c r="C464" s="1" t="s">
        <v>68</v>
      </c>
      <c r="D464" s="1" t="s">
        <v>33</v>
      </c>
      <c r="E464" s="24" t="s">
        <v>19</v>
      </c>
      <c r="F464" s="1" t="s">
        <v>104</v>
      </c>
      <c r="G464" s="1" t="s">
        <v>153</v>
      </c>
      <c r="H464" s="3">
        <f>IFERROR(MOD(TIMEVALUE(G464)-TIMEVALUE(F464),1)*24,0)</f>
        <v>10.166666666666666</v>
      </c>
      <c r="I464" s="24" t="str">
        <f t="shared" si="63"/>
        <v>Late</v>
      </c>
      <c r="J464" s="1" t="str">
        <f t="shared" si="64"/>
        <v>Full Day</v>
      </c>
      <c r="K464" s="1" t="str">
        <f t="shared" si="65"/>
        <v>Full Day</v>
      </c>
      <c r="L464" s="1" t="str">
        <f t="shared" si="66"/>
        <v>✓ Match</v>
      </c>
      <c r="M464" s="24" t="str">
        <f t="shared" si="67"/>
        <v>CLEAN</v>
      </c>
    </row>
    <row r="465" spans="1:13" ht="15" customHeight="1" x14ac:dyDescent="0.35">
      <c r="A465" s="1" t="s">
        <v>53</v>
      </c>
      <c r="B465" s="2" t="s">
        <v>54</v>
      </c>
      <c r="C465" s="1" t="s">
        <v>18</v>
      </c>
      <c r="D465" s="1" t="s">
        <v>33</v>
      </c>
      <c r="E465" s="24" t="s">
        <v>19</v>
      </c>
      <c r="F465" s="1" t="s">
        <v>89</v>
      </c>
      <c r="G465" s="1" t="s">
        <v>123</v>
      </c>
      <c r="H465" s="3">
        <f>IFERROR(MOD(TIMEVALUE(G465)-TIMEVALUE(F465),1)*24,0)</f>
        <v>10.166666666666666</v>
      </c>
      <c r="I465" s="24" t="str">
        <f t="shared" si="63"/>
        <v>Late</v>
      </c>
      <c r="J465" s="1" t="str">
        <f t="shared" si="64"/>
        <v>Full Day</v>
      </c>
      <c r="K465" s="1" t="str">
        <f t="shared" si="65"/>
        <v>Full Day</v>
      </c>
      <c r="L465" s="1" t="str">
        <f t="shared" si="66"/>
        <v>✓ Match</v>
      </c>
      <c r="M465" s="24" t="str">
        <f t="shared" si="67"/>
        <v>CLEAN</v>
      </c>
    </row>
    <row r="466" spans="1:13" ht="15" customHeight="1" x14ac:dyDescent="0.35">
      <c r="A466" s="1" t="s">
        <v>9</v>
      </c>
      <c r="B466" s="2" t="s">
        <v>10</v>
      </c>
      <c r="C466" s="1" t="s">
        <v>11</v>
      </c>
      <c r="D466" s="1" t="s">
        <v>33</v>
      </c>
      <c r="E466" s="24" t="s">
        <v>19</v>
      </c>
      <c r="F466" s="1" t="s">
        <v>104</v>
      </c>
      <c r="G466" s="1" t="s">
        <v>90</v>
      </c>
      <c r="H466" s="3">
        <f>IFERROR(MOD(TIMEVALUE(G466)-TIMEVALUE(F466),1)*24,0)</f>
        <v>9.8333333333333339</v>
      </c>
      <c r="I466" s="24" t="str">
        <f t="shared" si="63"/>
        <v>Late</v>
      </c>
      <c r="J466" s="1" t="str">
        <f t="shared" si="64"/>
        <v>Full Day</v>
      </c>
      <c r="K466" s="1" t="str">
        <f t="shared" si="65"/>
        <v>Full Day</v>
      </c>
      <c r="L466" s="1" t="str">
        <f t="shared" si="66"/>
        <v>✓ Match</v>
      </c>
      <c r="M466" s="24" t="str">
        <f t="shared" si="67"/>
        <v>CLEAN</v>
      </c>
    </row>
    <row r="467" spans="1:13" ht="15" customHeight="1" x14ac:dyDescent="0.35">
      <c r="A467" s="1" t="s">
        <v>105</v>
      </c>
      <c r="B467" s="2" t="s">
        <v>106</v>
      </c>
      <c r="C467" s="1" t="s">
        <v>11</v>
      </c>
      <c r="D467" s="1" t="s">
        <v>33</v>
      </c>
      <c r="E467" s="24" t="s">
        <v>13</v>
      </c>
      <c r="F467" s="1" t="s">
        <v>14</v>
      </c>
      <c r="G467" s="1" t="s">
        <v>15</v>
      </c>
      <c r="H467" s="3">
        <v>0</v>
      </c>
      <c r="I467" s="24" t="str">
        <f t="shared" si="63"/>
        <v/>
      </c>
      <c r="J467" s="1" t="str">
        <f t="shared" si="64"/>
        <v>Absent</v>
      </c>
      <c r="K467" s="1" t="str">
        <f t="shared" si="65"/>
        <v>N/A</v>
      </c>
      <c r="L467" s="1" t="str">
        <f t="shared" si="66"/>
        <v>⚠ Mismatch</v>
      </c>
      <c r="M467" s="24" t="str">
        <f t="shared" si="67"/>
        <v>REVIEW</v>
      </c>
    </row>
    <row r="468" spans="1:13" ht="15" customHeight="1" x14ac:dyDescent="0.35">
      <c r="A468" s="1" t="s">
        <v>79</v>
      </c>
      <c r="B468" s="2" t="s">
        <v>80</v>
      </c>
      <c r="C468" s="1" t="s">
        <v>18</v>
      </c>
      <c r="D468" s="1" t="s">
        <v>33</v>
      </c>
      <c r="E468" s="24" t="s">
        <v>13</v>
      </c>
      <c r="F468" s="1" t="s">
        <v>14</v>
      </c>
      <c r="G468" s="1" t="s">
        <v>15</v>
      </c>
      <c r="H468" s="3">
        <v>0</v>
      </c>
      <c r="I468" s="24" t="str">
        <f t="shared" si="63"/>
        <v/>
      </c>
      <c r="J468" s="1" t="str">
        <f t="shared" si="64"/>
        <v>Absent</v>
      </c>
      <c r="K468" s="1" t="str">
        <f t="shared" si="65"/>
        <v>N/A</v>
      </c>
      <c r="L468" s="1" t="str">
        <f t="shared" si="66"/>
        <v>⚠ Mismatch</v>
      </c>
      <c r="M468" s="24" t="str">
        <f t="shared" si="67"/>
        <v>REVIEW</v>
      </c>
    </row>
    <row r="469" spans="1:13" ht="15" customHeight="1" x14ac:dyDescent="0.35">
      <c r="A469" s="1" t="s">
        <v>72</v>
      </c>
      <c r="B469" s="2" t="s">
        <v>73</v>
      </c>
      <c r="C469" s="1" t="s">
        <v>68</v>
      </c>
      <c r="D469" s="1" t="s">
        <v>33</v>
      </c>
      <c r="E469" s="24" t="s">
        <v>19</v>
      </c>
      <c r="F469" s="1" t="s">
        <v>122</v>
      </c>
      <c r="G469" s="1" t="s">
        <v>165</v>
      </c>
      <c r="H469" s="3">
        <f>IFERROR(MOD(TIMEVALUE(G469)-TIMEVALUE(F469),1)*24,0)</f>
        <v>6.9166666666666679</v>
      </c>
      <c r="I469" s="24" t="str">
        <f t="shared" si="63"/>
        <v>Late</v>
      </c>
      <c r="J469" s="1" t="str">
        <f t="shared" si="64"/>
        <v>Half Day</v>
      </c>
      <c r="K469" s="1" t="str">
        <f t="shared" si="65"/>
        <v>Half Day</v>
      </c>
      <c r="L469" s="1" t="str">
        <f t="shared" si="66"/>
        <v>✓ Match</v>
      </c>
      <c r="M469" s="24" t="str">
        <f t="shared" si="67"/>
        <v>CLEAN</v>
      </c>
    </row>
    <row r="470" spans="1:13" ht="15" customHeight="1" x14ac:dyDescent="0.35">
      <c r="A470" s="1" t="s">
        <v>112</v>
      </c>
      <c r="B470" s="2" t="s">
        <v>113</v>
      </c>
      <c r="C470" s="1" t="s">
        <v>30</v>
      </c>
      <c r="D470" s="1" t="s">
        <v>33</v>
      </c>
      <c r="E470" s="24" t="s">
        <v>19</v>
      </c>
      <c r="F470" s="1" t="s">
        <v>87</v>
      </c>
      <c r="G470" s="1" t="s">
        <v>123</v>
      </c>
      <c r="H470" s="3">
        <f>IFERROR(MOD(TIMEVALUE(G470)-TIMEVALUE(F470),1)*24,0)</f>
        <v>9.1666666666666679</v>
      </c>
      <c r="I470" s="24" t="str">
        <f t="shared" si="63"/>
        <v>Late</v>
      </c>
      <c r="J470" s="1" t="str">
        <f t="shared" si="64"/>
        <v>Full Day</v>
      </c>
      <c r="K470" s="1" t="str">
        <f t="shared" si="65"/>
        <v>Full Day</v>
      </c>
      <c r="L470" s="1" t="str">
        <f t="shared" si="66"/>
        <v>✓ Match</v>
      </c>
      <c r="M470" s="24" t="str">
        <f t="shared" si="67"/>
        <v>CLEAN</v>
      </c>
    </row>
    <row r="471" spans="1:13" ht="15" customHeight="1" x14ac:dyDescent="0.35">
      <c r="A471" s="1" t="s">
        <v>120</v>
      </c>
      <c r="B471" s="2" t="s">
        <v>121</v>
      </c>
      <c r="C471" s="1" t="s">
        <v>11</v>
      </c>
      <c r="D471" s="1" t="s">
        <v>33</v>
      </c>
      <c r="E471" s="24" t="s">
        <v>19</v>
      </c>
      <c r="F471" s="1" t="s">
        <v>89</v>
      </c>
      <c r="G471" s="1" t="s">
        <v>141</v>
      </c>
      <c r="H471" s="3">
        <f>IFERROR(MOD(TIMEVALUE(G471)-TIMEVALUE(F471),1)*24,0)</f>
        <v>9.3333333333333304</v>
      </c>
      <c r="I471" s="24" t="str">
        <f t="shared" si="63"/>
        <v>Late</v>
      </c>
      <c r="J471" s="1" t="str">
        <f t="shared" si="64"/>
        <v>Full Day</v>
      </c>
      <c r="K471" s="1" t="str">
        <f t="shared" si="65"/>
        <v>Full Day</v>
      </c>
      <c r="L471" s="1" t="str">
        <f t="shared" si="66"/>
        <v>✓ Match</v>
      </c>
      <c r="M471" s="24" t="str">
        <f t="shared" si="67"/>
        <v>CLEAN</v>
      </c>
    </row>
    <row r="472" spans="1:13" ht="15" customHeight="1" x14ac:dyDescent="0.35">
      <c r="A472" s="1" t="s">
        <v>150</v>
      </c>
      <c r="B472" s="2" t="s">
        <v>151</v>
      </c>
      <c r="C472" s="1" t="s">
        <v>68</v>
      </c>
      <c r="D472" s="1" t="s">
        <v>33</v>
      </c>
      <c r="E472" s="24" t="s">
        <v>13</v>
      </c>
      <c r="F472" s="1" t="s">
        <v>14</v>
      </c>
      <c r="G472" s="1" t="s">
        <v>15</v>
      </c>
      <c r="H472" s="3">
        <v>0</v>
      </c>
      <c r="I472" s="24" t="str">
        <f t="shared" si="63"/>
        <v/>
      </c>
      <c r="J472" s="1" t="str">
        <f t="shared" si="64"/>
        <v>Absent</v>
      </c>
      <c r="K472" s="1" t="str">
        <f t="shared" si="65"/>
        <v>N/A</v>
      </c>
      <c r="L472" s="1" t="str">
        <f t="shared" si="66"/>
        <v>⚠ Mismatch</v>
      </c>
      <c r="M472" s="24" t="str">
        <f t="shared" si="67"/>
        <v>REVIEW</v>
      </c>
    </row>
    <row r="473" spans="1:13" ht="15" customHeight="1" x14ac:dyDescent="0.35">
      <c r="A473" s="1" t="s">
        <v>16</v>
      </c>
      <c r="B473" s="2" t="s">
        <v>17</v>
      </c>
      <c r="C473" s="1" t="s">
        <v>18</v>
      </c>
      <c r="D473" s="1" t="s">
        <v>33</v>
      </c>
      <c r="E473" s="24" t="s">
        <v>19</v>
      </c>
      <c r="F473" s="1" t="s">
        <v>160</v>
      </c>
      <c r="G473" s="1" t="s">
        <v>127</v>
      </c>
      <c r="H473" s="3">
        <f>IFERROR(MOD(TIMEVALUE(G473)-TIMEVALUE(F473),1)*24,0)</f>
        <v>6.8333333333333321</v>
      </c>
      <c r="I473" s="24" t="str">
        <f t="shared" si="63"/>
        <v>Late</v>
      </c>
      <c r="J473" s="1" t="str">
        <f t="shared" si="64"/>
        <v>Half Day</v>
      </c>
      <c r="K473" s="1" t="str">
        <f t="shared" si="65"/>
        <v>Half Day</v>
      </c>
      <c r="L473" s="1" t="str">
        <f t="shared" si="66"/>
        <v>✓ Match</v>
      </c>
      <c r="M473" s="24" t="str">
        <f t="shared" si="67"/>
        <v>CLEAN</v>
      </c>
    </row>
    <row r="474" spans="1:13" ht="15" customHeight="1" x14ac:dyDescent="0.35">
      <c r="A474" s="1" t="s">
        <v>82</v>
      </c>
      <c r="B474" s="2" t="s">
        <v>83</v>
      </c>
      <c r="C474" s="1" t="s">
        <v>68</v>
      </c>
      <c r="D474" s="1" t="s">
        <v>33</v>
      </c>
      <c r="E474" s="24" t="s">
        <v>13</v>
      </c>
      <c r="F474" s="1" t="s">
        <v>14</v>
      </c>
      <c r="G474" s="1" t="s">
        <v>15</v>
      </c>
      <c r="H474" s="3">
        <v>0</v>
      </c>
      <c r="I474" s="24" t="str">
        <f t="shared" si="63"/>
        <v/>
      </c>
      <c r="J474" s="1" t="str">
        <f t="shared" si="64"/>
        <v>Absent</v>
      </c>
      <c r="K474" s="1" t="str">
        <f t="shared" si="65"/>
        <v>N/A</v>
      </c>
      <c r="L474" s="1" t="str">
        <f t="shared" si="66"/>
        <v>⚠ Mismatch</v>
      </c>
      <c r="M474" s="24" t="str">
        <f t="shared" si="67"/>
        <v>REVIEW</v>
      </c>
    </row>
    <row r="475" spans="1:13" ht="15" customHeight="1" x14ac:dyDescent="0.35">
      <c r="A475" s="1" t="s">
        <v>134</v>
      </c>
      <c r="B475" s="2" t="s">
        <v>135</v>
      </c>
      <c r="C475" s="1" t="s">
        <v>68</v>
      </c>
      <c r="D475" s="1" t="s">
        <v>33</v>
      </c>
      <c r="E475" s="24" t="s">
        <v>13</v>
      </c>
      <c r="F475" s="1" t="s">
        <v>14</v>
      </c>
      <c r="G475" s="1" t="s">
        <v>15</v>
      </c>
      <c r="H475" s="3">
        <v>0</v>
      </c>
      <c r="I475" s="24" t="str">
        <f t="shared" si="63"/>
        <v/>
      </c>
      <c r="J475" s="1" t="str">
        <f t="shared" si="64"/>
        <v>Absent</v>
      </c>
      <c r="K475" s="1" t="str">
        <f t="shared" si="65"/>
        <v>N/A</v>
      </c>
      <c r="L475" s="1" t="str">
        <f t="shared" si="66"/>
        <v>⚠ Mismatch</v>
      </c>
      <c r="M475" s="24" t="str">
        <f t="shared" si="67"/>
        <v>REVIEW</v>
      </c>
    </row>
    <row r="476" spans="1:13" ht="15" customHeight="1" x14ac:dyDescent="0.35">
      <c r="A476" s="1" t="s">
        <v>45</v>
      </c>
      <c r="B476" s="2" t="s">
        <v>46</v>
      </c>
      <c r="C476" s="1" t="s">
        <v>18</v>
      </c>
      <c r="D476" s="1" t="s">
        <v>33</v>
      </c>
      <c r="E476" s="24" t="s">
        <v>37</v>
      </c>
      <c r="F476" s="1" t="s">
        <v>93</v>
      </c>
      <c r="G476" s="1" t="s">
        <v>153</v>
      </c>
      <c r="H476" s="3">
        <f>IFERROR(MOD(TIMEVALUE(G476)-TIMEVALUE(F476),1)*24,0)</f>
        <v>10</v>
      </c>
      <c r="I476" s="24" t="str">
        <f t="shared" si="63"/>
        <v>Late</v>
      </c>
      <c r="J476" s="1" t="str">
        <f t="shared" si="64"/>
        <v>Full Day</v>
      </c>
      <c r="K476" s="1" t="str">
        <f t="shared" si="65"/>
        <v>Full Day</v>
      </c>
      <c r="L476" s="1" t="str">
        <f t="shared" si="66"/>
        <v>✓ Match</v>
      </c>
      <c r="M476" s="24" t="str">
        <f t="shared" si="67"/>
        <v>CLEAN</v>
      </c>
    </row>
    <row r="477" spans="1:13" ht="15" customHeight="1" x14ac:dyDescent="0.35">
      <c r="A477" s="1" t="s">
        <v>110</v>
      </c>
      <c r="B477" s="2" t="s">
        <v>111</v>
      </c>
      <c r="C477" s="1" t="s">
        <v>68</v>
      </c>
      <c r="D477" s="1" t="s">
        <v>33</v>
      </c>
      <c r="E477" s="24" t="s">
        <v>19</v>
      </c>
      <c r="F477" s="1" t="s">
        <v>163</v>
      </c>
      <c r="G477" s="1" t="s">
        <v>109</v>
      </c>
      <c r="H477" s="3">
        <f>IFERROR(MOD(TIMEVALUE(G477)-TIMEVALUE(F477),1)*24,0)</f>
        <v>8.9166666666666661</v>
      </c>
      <c r="I477" s="24" t="str">
        <f t="shared" si="63"/>
        <v>On Time</v>
      </c>
      <c r="J477" s="1" t="str">
        <f t="shared" si="64"/>
        <v>Full Day</v>
      </c>
      <c r="K477" s="1" t="str">
        <f t="shared" si="65"/>
        <v>Full Day</v>
      </c>
      <c r="L477" s="1" t="str">
        <f t="shared" si="66"/>
        <v>✓ Match</v>
      </c>
      <c r="M477" s="24" t="str">
        <f t="shared" si="67"/>
        <v>CLEAN</v>
      </c>
    </row>
    <row r="478" spans="1:13" ht="15" customHeight="1" x14ac:dyDescent="0.35">
      <c r="A478" s="1" t="s">
        <v>66</v>
      </c>
      <c r="B478" s="2" t="s">
        <v>67</v>
      </c>
      <c r="C478" s="1" t="s">
        <v>68</v>
      </c>
      <c r="D478" s="1" t="s">
        <v>33</v>
      </c>
      <c r="E478" s="24" t="s">
        <v>13</v>
      </c>
      <c r="F478" s="1" t="s">
        <v>14</v>
      </c>
      <c r="G478" s="1" t="s">
        <v>15</v>
      </c>
      <c r="H478" s="3">
        <v>0</v>
      </c>
      <c r="I478" s="24" t="str">
        <f t="shared" si="63"/>
        <v/>
      </c>
      <c r="J478" s="1" t="str">
        <f t="shared" si="64"/>
        <v>Absent</v>
      </c>
      <c r="K478" s="1" t="str">
        <f t="shared" si="65"/>
        <v>N/A</v>
      </c>
      <c r="L478" s="1" t="str">
        <f t="shared" si="66"/>
        <v>⚠ Mismatch</v>
      </c>
      <c r="M478" s="24" t="str">
        <f t="shared" si="67"/>
        <v>REVIEW</v>
      </c>
    </row>
    <row r="479" spans="1:13" ht="15" customHeight="1" x14ac:dyDescent="0.35">
      <c r="A479" s="1" t="s">
        <v>130</v>
      </c>
      <c r="B479" s="2" t="s">
        <v>131</v>
      </c>
      <c r="C479" s="1" t="s">
        <v>11</v>
      </c>
      <c r="D479" s="1" t="s">
        <v>33</v>
      </c>
      <c r="E479" s="24" t="s">
        <v>19</v>
      </c>
      <c r="F479" s="1" t="s">
        <v>43</v>
      </c>
      <c r="G479" s="1" t="s">
        <v>78</v>
      </c>
      <c r="H479" s="3">
        <f>IFERROR(MOD(TIMEVALUE(G479)-TIMEVALUE(F479),1)*24,0)</f>
        <v>9.25</v>
      </c>
      <c r="I479" s="24" t="str">
        <f t="shared" si="63"/>
        <v>On Time</v>
      </c>
      <c r="J479" s="1" t="str">
        <f t="shared" si="64"/>
        <v>Full Day</v>
      </c>
      <c r="K479" s="1" t="str">
        <f t="shared" si="65"/>
        <v>Full Day</v>
      </c>
      <c r="L479" s="1" t="str">
        <f t="shared" si="66"/>
        <v>✓ Match</v>
      </c>
      <c r="M479" s="24" t="str">
        <f t="shared" si="67"/>
        <v>CLEAN</v>
      </c>
    </row>
    <row r="480" spans="1:13" ht="15" customHeight="1" x14ac:dyDescent="0.35">
      <c r="A480" s="1" t="s">
        <v>117</v>
      </c>
      <c r="B480" s="2" t="s">
        <v>118</v>
      </c>
      <c r="C480" s="1" t="s">
        <v>30</v>
      </c>
      <c r="D480" s="1" t="s">
        <v>33</v>
      </c>
      <c r="E480" s="24" t="s">
        <v>19</v>
      </c>
      <c r="F480" s="1" t="s">
        <v>128</v>
      </c>
      <c r="G480" s="1" t="s">
        <v>35</v>
      </c>
      <c r="H480" s="3">
        <f>IFERROR(MOD(TIMEVALUE(G480)-TIMEVALUE(F480),1)*24,0)</f>
        <v>9.6666666666666679</v>
      </c>
      <c r="I480" s="24" t="str">
        <f t="shared" si="63"/>
        <v>Late</v>
      </c>
      <c r="J480" s="1" t="str">
        <f t="shared" si="64"/>
        <v>Full Day</v>
      </c>
      <c r="K480" s="1" t="str">
        <f t="shared" si="65"/>
        <v>Full Day</v>
      </c>
      <c r="L480" s="1" t="str">
        <f t="shared" si="66"/>
        <v>✓ Match</v>
      </c>
      <c r="M480" s="24" t="str">
        <f t="shared" si="67"/>
        <v>CLEAN</v>
      </c>
    </row>
    <row r="481" spans="1:13" ht="15" customHeight="1" x14ac:dyDescent="0.35">
      <c r="A481" s="1" t="s">
        <v>124</v>
      </c>
      <c r="B481" s="2" t="s">
        <v>125</v>
      </c>
      <c r="C481" s="1" t="s">
        <v>68</v>
      </c>
      <c r="D481" s="1" t="s">
        <v>33</v>
      </c>
      <c r="E481" s="24" t="s">
        <v>19</v>
      </c>
      <c r="F481" s="1" t="s">
        <v>140</v>
      </c>
      <c r="G481" s="1" t="s">
        <v>27</v>
      </c>
      <c r="H481" s="3">
        <f>IFERROR(MOD(TIMEVALUE(G481)-TIMEVALUE(F481),1)*24,0)</f>
        <v>11</v>
      </c>
      <c r="I481" s="24" t="str">
        <f t="shared" si="63"/>
        <v>Late</v>
      </c>
      <c r="J481" s="1" t="str">
        <f t="shared" si="64"/>
        <v>Full Day</v>
      </c>
      <c r="K481" s="1" t="str">
        <f t="shared" si="65"/>
        <v>Full Day</v>
      </c>
      <c r="L481" s="1" t="str">
        <f t="shared" si="66"/>
        <v>✓ Match</v>
      </c>
      <c r="M481" s="24" t="str">
        <f t="shared" si="67"/>
        <v>CLEAN</v>
      </c>
    </row>
    <row r="482" spans="1:13" ht="15" customHeight="1" x14ac:dyDescent="0.35">
      <c r="A482" s="1" t="s">
        <v>158</v>
      </c>
      <c r="B482" s="2" t="s">
        <v>159</v>
      </c>
      <c r="C482" s="1" t="s">
        <v>11</v>
      </c>
      <c r="D482" s="1" t="s">
        <v>33</v>
      </c>
      <c r="E482" s="24" t="s">
        <v>19</v>
      </c>
      <c r="F482" s="1" t="s">
        <v>128</v>
      </c>
      <c r="G482" s="1" t="s">
        <v>94</v>
      </c>
      <c r="H482" s="3">
        <f>IFERROR(MOD(TIMEVALUE(G482)-TIMEVALUE(F482),1)*24,0)</f>
        <v>9.7500000000000018</v>
      </c>
      <c r="I482" s="24" t="str">
        <f t="shared" si="63"/>
        <v>Late</v>
      </c>
      <c r="J482" s="1" t="str">
        <f t="shared" si="64"/>
        <v>Full Day</v>
      </c>
      <c r="K482" s="1" t="str">
        <f t="shared" si="65"/>
        <v>Full Day</v>
      </c>
      <c r="L482" s="1" t="str">
        <f t="shared" si="66"/>
        <v>✓ Match</v>
      </c>
      <c r="M482" s="24" t="str">
        <f t="shared" si="67"/>
        <v>CLEAN</v>
      </c>
    </row>
    <row r="483" spans="1:13" ht="15" customHeight="1" x14ac:dyDescent="0.35">
      <c r="A483" s="1" t="s">
        <v>134</v>
      </c>
      <c r="B483" s="2" t="s">
        <v>135</v>
      </c>
      <c r="C483" s="1" t="s">
        <v>68</v>
      </c>
      <c r="D483" s="1" t="s">
        <v>136</v>
      </c>
      <c r="E483" s="24" t="s">
        <v>13</v>
      </c>
      <c r="F483" s="1" t="s">
        <v>14</v>
      </c>
      <c r="G483" s="1" t="s">
        <v>15</v>
      </c>
      <c r="H483" s="3">
        <v>0</v>
      </c>
      <c r="I483" s="24" t="str">
        <f t="shared" si="63"/>
        <v/>
      </c>
      <c r="J483" s="1" t="str">
        <f t="shared" si="64"/>
        <v>Absent</v>
      </c>
      <c r="K483" s="1" t="str">
        <f t="shared" si="65"/>
        <v>N/A</v>
      </c>
      <c r="L483" s="1" t="str">
        <f t="shared" si="66"/>
        <v>⚠ Mismatch</v>
      </c>
      <c r="M483" s="24" t="str">
        <f t="shared" si="67"/>
        <v>REVIEW</v>
      </c>
    </row>
    <row r="484" spans="1:13" ht="15" customHeight="1" x14ac:dyDescent="0.35">
      <c r="A484" s="1" t="s">
        <v>28</v>
      </c>
      <c r="B484" s="2" t="s">
        <v>29</v>
      </c>
      <c r="C484" s="1" t="s">
        <v>30</v>
      </c>
      <c r="D484" s="1" t="s">
        <v>136</v>
      </c>
      <c r="E484" s="24" t="s">
        <v>19</v>
      </c>
      <c r="F484" s="1" t="s">
        <v>56</v>
      </c>
      <c r="G484" s="1" t="s">
        <v>27</v>
      </c>
      <c r="H484" s="3">
        <f>IFERROR(MOD(TIMEVALUE(G484)-TIMEVALUE(F484),1)*24,0)</f>
        <v>10.500000000000002</v>
      </c>
      <c r="I484" s="24" t="str">
        <f t="shared" si="63"/>
        <v>Late</v>
      </c>
      <c r="J484" s="1" t="str">
        <f t="shared" si="64"/>
        <v>Full Day</v>
      </c>
      <c r="K484" s="1" t="str">
        <f t="shared" si="65"/>
        <v>Full Day</v>
      </c>
      <c r="L484" s="1" t="str">
        <f t="shared" si="66"/>
        <v>✓ Match</v>
      </c>
      <c r="M484" s="24" t="str">
        <f t="shared" si="67"/>
        <v>CLEAN</v>
      </c>
    </row>
    <row r="485" spans="1:13" ht="15" customHeight="1" x14ac:dyDescent="0.35">
      <c r="A485" s="1" t="s">
        <v>79</v>
      </c>
      <c r="B485" s="2" t="s">
        <v>80</v>
      </c>
      <c r="C485" s="1" t="s">
        <v>18</v>
      </c>
      <c r="D485" s="1" t="s">
        <v>136</v>
      </c>
      <c r="E485" s="24" t="s">
        <v>19</v>
      </c>
      <c r="F485" s="1" t="s">
        <v>137</v>
      </c>
      <c r="G485" s="1" t="s">
        <v>108</v>
      </c>
      <c r="H485" s="3">
        <f>IFERROR(MOD(TIMEVALUE(G485)-TIMEVALUE(F485),1)*24,0)</f>
        <v>11.416666666666664</v>
      </c>
      <c r="I485" s="24" t="str">
        <f t="shared" si="63"/>
        <v>Late</v>
      </c>
      <c r="J485" s="1" t="str">
        <f t="shared" si="64"/>
        <v>Full Day</v>
      </c>
      <c r="K485" s="1" t="str">
        <f t="shared" si="65"/>
        <v>Full Day</v>
      </c>
      <c r="L485" s="1" t="str">
        <f t="shared" si="66"/>
        <v>✓ Match</v>
      </c>
      <c r="M485" s="24" t="str">
        <f t="shared" si="67"/>
        <v>CLEAN</v>
      </c>
    </row>
    <row r="486" spans="1:13" ht="15" customHeight="1" x14ac:dyDescent="0.35">
      <c r="A486" s="1" t="s">
        <v>22</v>
      </c>
      <c r="B486" s="2" t="s">
        <v>23</v>
      </c>
      <c r="C486" s="1" t="s">
        <v>24</v>
      </c>
      <c r="D486" s="1" t="s">
        <v>136</v>
      </c>
      <c r="E486" s="24" t="s">
        <v>13</v>
      </c>
      <c r="F486" s="1" t="s">
        <v>14</v>
      </c>
      <c r="G486" s="1" t="s">
        <v>15</v>
      </c>
      <c r="H486" s="3">
        <v>0</v>
      </c>
      <c r="I486" s="24" t="str">
        <f t="shared" si="63"/>
        <v/>
      </c>
      <c r="J486" s="1" t="str">
        <f t="shared" si="64"/>
        <v>Absent</v>
      </c>
      <c r="K486" s="1" t="str">
        <f t="shared" si="65"/>
        <v>N/A</v>
      </c>
      <c r="L486" s="1" t="str">
        <f t="shared" si="66"/>
        <v>⚠ Mismatch</v>
      </c>
      <c r="M486" s="24" t="str">
        <f t="shared" si="67"/>
        <v>REVIEW</v>
      </c>
    </row>
    <row r="487" spans="1:13" ht="15" customHeight="1" x14ac:dyDescent="0.35">
      <c r="A487" s="1" t="s">
        <v>105</v>
      </c>
      <c r="B487" s="2" t="s">
        <v>106</v>
      </c>
      <c r="C487" s="1" t="s">
        <v>11</v>
      </c>
      <c r="D487" s="1" t="s">
        <v>136</v>
      </c>
      <c r="E487" s="24" t="s">
        <v>19</v>
      </c>
      <c r="F487" s="1" t="s">
        <v>75</v>
      </c>
      <c r="G487" s="1" t="s">
        <v>141</v>
      </c>
      <c r="H487" s="3">
        <f t="shared" ref="H487:H499" si="68">IFERROR(MOD(TIMEVALUE(G487)-TIMEVALUE(F487),1)*24,0)</f>
        <v>11.083333333333332</v>
      </c>
      <c r="I487" s="24" t="str">
        <f t="shared" si="63"/>
        <v>On Time</v>
      </c>
      <c r="J487" s="1" t="str">
        <f t="shared" si="64"/>
        <v>Full Day</v>
      </c>
      <c r="K487" s="1" t="str">
        <f t="shared" si="65"/>
        <v>Full Day</v>
      </c>
      <c r="L487" s="1" t="str">
        <f t="shared" si="66"/>
        <v>✓ Match</v>
      </c>
      <c r="M487" s="24" t="str">
        <f t="shared" si="67"/>
        <v>CLEAN</v>
      </c>
    </row>
    <row r="488" spans="1:13" ht="15" customHeight="1" x14ac:dyDescent="0.35">
      <c r="A488" s="1" t="s">
        <v>16</v>
      </c>
      <c r="B488" s="2" t="s">
        <v>17</v>
      </c>
      <c r="C488" s="1" t="s">
        <v>18</v>
      </c>
      <c r="D488" s="1" t="s">
        <v>136</v>
      </c>
      <c r="E488" s="24" t="s">
        <v>19</v>
      </c>
      <c r="F488" s="1" t="s">
        <v>163</v>
      </c>
      <c r="G488" s="1" t="s">
        <v>165</v>
      </c>
      <c r="H488" s="3">
        <f t="shared" si="68"/>
        <v>7.9166666666666661</v>
      </c>
      <c r="I488" s="24" t="str">
        <f t="shared" si="63"/>
        <v>On Time</v>
      </c>
      <c r="J488" s="1" t="str">
        <f t="shared" si="64"/>
        <v>Half Day</v>
      </c>
      <c r="K488" s="1" t="str">
        <f t="shared" si="65"/>
        <v>Half Day</v>
      </c>
      <c r="L488" s="1" t="str">
        <f t="shared" si="66"/>
        <v>✓ Match</v>
      </c>
      <c r="M488" s="24" t="str">
        <f t="shared" si="67"/>
        <v>CLEAN</v>
      </c>
    </row>
    <row r="489" spans="1:13" ht="15" customHeight="1" x14ac:dyDescent="0.35">
      <c r="A489" s="1" t="s">
        <v>98</v>
      </c>
      <c r="B489" s="2" t="s">
        <v>99</v>
      </c>
      <c r="C489" s="1" t="s">
        <v>18</v>
      </c>
      <c r="D489" s="1" t="s">
        <v>136</v>
      </c>
      <c r="E489" s="24" t="s">
        <v>19</v>
      </c>
      <c r="F489" s="1" t="s">
        <v>122</v>
      </c>
      <c r="G489" s="1" t="s">
        <v>123</v>
      </c>
      <c r="H489" s="3">
        <f t="shared" si="68"/>
        <v>10.833333333333334</v>
      </c>
      <c r="I489" s="24" t="str">
        <f t="shared" si="63"/>
        <v>Late</v>
      </c>
      <c r="J489" s="1" t="str">
        <f t="shared" si="64"/>
        <v>Full Day</v>
      </c>
      <c r="K489" s="1" t="str">
        <f t="shared" si="65"/>
        <v>Full Day</v>
      </c>
      <c r="L489" s="1" t="str">
        <f t="shared" si="66"/>
        <v>✓ Match</v>
      </c>
      <c r="M489" s="24" t="str">
        <f t="shared" si="67"/>
        <v>CLEAN</v>
      </c>
    </row>
    <row r="490" spans="1:13" ht="15" customHeight="1" x14ac:dyDescent="0.35">
      <c r="A490" s="1" t="s">
        <v>76</v>
      </c>
      <c r="B490" s="2" t="s">
        <v>77</v>
      </c>
      <c r="C490" s="1" t="s">
        <v>68</v>
      </c>
      <c r="D490" s="1" t="s">
        <v>136</v>
      </c>
      <c r="E490" s="24" t="s">
        <v>19</v>
      </c>
      <c r="F490" s="1" t="s">
        <v>163</v>
      </c>
      <c r="G490" s="1" t="s">
        <v>127</v>
      </c>
      <c r="H490" s="3">
        <f t="shared" si="68"/>
        <v>9.9999999999999982</v>
      </c>
      <c r="I490" s="24" t="str">
        <f t="shared" si="63"/>
        <v>On Time</v>
      </c>
      <c r="J490" s="1" t="str">
        <f t="shared" si="64"/>
        <v>Full Day</v>
      </c>
      <c r="K490" s="1" t="str">
        <f t="shared" si="65"/>
        <v>Full Day</v>
      </c>
      <c r="L490" s="1" t="str">
        <f t="shared" si="66"/>
        <v>✓ Match</v>
      </c>
      <c r="M490" s="24" t="str">
        <f t="shared" si="67"/>
        <v>CLEAN</v>
      </c>
    </row>
    <row r="491" spans="1:13" ht="15" customHeight="1" x14ac:dyDescent="0.35">
      <c r="A491" s="1" t="s">
        <v>40</v>
      </c>
      <c r="B491" s="2" t="s">
        <v>41</v>
      </c>
      <c r="C491" s="1" t="s">
        <v>24</v>
      </c>
      <c r="D491" s="1" t="s">
        <v>136</v>
      </c>
      <c r="E491" s="24" t="s">
        <v>19</v>
      </c>
      <c r="F491" s="1" t="s">
        <v>26</v>
      </c>
      <c r="G491" s="1" t="s">
        <v>21</v>
      </c>
      <c r="H491" s="3">
        <f t="shared" si="68"/>
        <v>9.4166666666666661</v>
      </c>
      <c r="I491" s="24" t="str">
        <f t="shared" si="63"/>
        <v>Late</v>
      </c>
      <c r="J491" s="1" t="str">
        <f t="shared" si="64"/>
        <v>Full Day</v>
      </c>
      <c r="K491" s="1" t="str">
        <f t="shared" si="65"/>
        <v>Full Day</v>
      </c>
      <c r="L491" s="1" t="str">
        <f t="shared" si="66"/>
        <v>✓ Match</v>
      </c>
      <c r="M491" s="24" t="str">
        <f t="shared" si="67"/>
        <v>CLEAN</v>
      </c>
    </row>
    <row r="492" spans="1:13" ht="15" customHeight="1" x14ac:dyDescent="0.35">
      <c r="A492" s="1" t="s">
        <v>117</v>
      </c>
      <c r="B492" s="2" t="s">
        <v>118</v>
      </c>
      <c r="C492" s="1" t="s">
        <v>30</v>
      </c>
      <c r="D492" s="1" t="s">
        <v>136</v>
      </c>
      <c r="E492" s="24" t="s">
        <v>19</v>
      </c>
      <c r="F492" s="1" t="s">
        <v>152</v>
      </c>
      <c r="G492" s="1" t="s">
        <v>141</v>
      </c>
      <c r="H492" s="3">
        <f t="shared" si="68"/>
        <v>8.8333333333333321</v>
      </c>
      <c r="I492" s="24" t="str">
        <f t="shared" si="63"/>
        <v>Late</v>
      </c>
      <c r="J492" s="1" t="str">
        <f t="shared" si="64"/>
        <v>Full Day</v>
      </c>
      <c r="K492" s="1" t="str">
        <f t="shared" si="65"/>
        <v>Full Day</v>
      </c>
      <c r="L492" s="1" t="str">
        <f t="shared" si="66"/>
        <v>✓ Match</v>
      </c>
      <c r="M492" s="24" t="str">
        <f t="shared" si="67"/>
        <v>CLEAN</v>
      </c>
    </row>
    <row r="493" spans="1:13" ht="15" customHeight="1" x14ac:dyDescent="0.35">
      <c r="A493" s="1" t="s">
        <v>150</v>
      </c>
      <c r="B493" s="2" t="s">
        <v>151</v>
      </c>
      <c r="C493" s="1" t="s">
        <v>68</v>
      </c>
      <c r="D493" s="1" t="s">
        <v>136</v>
      </c>
      <c r="E493" s="24" t="s">
        <v>19</v>
      </c>
      <c r="F493" s="1" t="s">
        <v>100</v>
      </c>
      <c r="G493" s="1" t="s">
        <v>154</v>
      </c>
      <c r="H493" s="3">
        <f t="shared" si="68"/>
        <v>8.3333333333333321</v>
      </c>
      <c r="I493" s="24" t="str">
        <f t="shared" si="63"/>
        <v>On Time</v>
      </c>
      <c r="J493" s="1" t="str">
        <f t="shared" si="64"/>
        <v>Full Day</v>
      </c>
      <c r="K493" s="1" t="str">
        <f t="shared" si="65"/>
        <v>Full Day</v>
      </c>
      <c r="L493" s="1" t="str">
        <f t="shared" si="66"/>
        <v>✓ Match</v>
      </c>
      <c r="M493" s="24" t="str">
        <f t="shared" si="67"/>
        <v>CLEAN</v>
      </c>
    </row>
    <row r="494" spans="1:13" ht="15" customHeight="1" x14ac:dyDescent="0.35">
      <c r="A494" s="1" t="s">
        <v>110</v>
      </c>
      <c r="B494" s="2" t="s">
        <v>111</v>
      </c>
      <c r="C494" s="1" t="s">
        <v>68</v>
      </c>
      <c r="D494" s="1" t="s">
        <v>136</v>
      </c>
      <c r="E494" s="24" t="s">
        <v>19</v>
      </c>
      <c r="F494" s="1" t="s">
        <v>75</v>
      </c>
      <c r="G494" s="1" t="s">
        <v>141</v>
      </c>
      <c r="H494" s="3">
        <f t="shared" si="68"/>
        <v>11.083333333333332</v>
      </c>
      <c r="I494" s="24" t="str">
        <f t="shared" si="63"/>
        <v>On Time</v>
      </c>
      <c r="J494" s="1" t="str">
        <f t="shared" si="64"/>
        <v>Full Day</v>
      </c>
      <c r="K494" s="1" t="str">
        <f t="shared" si="65"/>
        <v>Full Day</v>
      </c>
      <c r="L494" s="1" t="str">
        <f t="shared" si="66"/>
        <v>✓ Match</v>
      </c>
      <c r="M494" s="24" t="str">
        <f t="shared" si="67"/>
        <v>CLEAN</v>
      </c>
    </row>
    <row r="495" spans="1:13" ht="15" customHeight="1" x14ac:dyDescent="0.35">
      <c r="A495" s="1" t="s">
        <v>72</v>
      </c>
      <c r="B495" s="2" t="s">
        <v>73</v>
      </c>
      <c r="C495" s="1" t="s">
        <v>68</v>
      </c>
      <c r="D495" s="1" t="s">
        <v>136</v>
      </c>
      <c r="E495" s="24" t="s">
        <v>37</v>
      </c>
      <c r="F495" s="1" t="s">
        <v>140</v>
      </c>
      <c r="G495" s="1" t="s">
        <v>153</v>
      </c>
      <c r="H495" s="3">
        <f t="shared" si="68"/>
        <v>10.583333333333332</v>
      </c>
      <c r="I495" s="24" t="str">
        <f t="shared" si="63"/>
        <v>Late</v>
      </c>
      <c r="J495" s="1" t="str">
        <f t="shared" si="64"/>
        <v>Full Day</v>
      </c>
      <c r="K495" s="1" t="str">
        <f t="shared" si="65"/>
        <v>Full Day</v>
      </c>
      <c r="L495" s="1" t="str">
        <f t="shared" si="66"/>
        <v>✓ Match</v>
      </c>
      <c r="M495" s="24" t="str">
        <f t="shared" si="67"/>
        <v>CLEAN</v>
      </c>
    </row>
    <row r="496" spans="1:13" ht="15" customHeight="1" x14ac:dyDescent="0.35">
      <c r="A496" s="1" t="s">
        <v>120</v>
      </c>
      <c r="B496" s="2" t="s">
        <v>121</v>
      </c>
      <c r="C496" s="1" t="s">
        <v>11</v>
      </c>
      <c r="D496" s="1" t="s">
        <v>136</v>
      </c>
      <c r="E496" s="24" t="s">
        <v>19</v>
      </c>
      <c r="F496" s="1" t="s">
        <v>140</v>
      </c>
      <c r="G496" s="1" t="s">
        <v>27</v>
      </c>
      <c r="H496" s="3">
        <f t="shared" si="68"/>
        <v>11</v>
      </c>
      <c r="I496" s="24" t="str">
        <f t="shared" si="63"/>
        <v>Late</v>
      </c>
      <c r="J496" s="1" t="str">
        <f t="shared" si="64"/>
        <v>Full Day</v>
      </c>
      <c r="K496" s="1" t="str">
        <f t="shared" si="65"/>
        <v>Full Day</v>
      </c>
      <c r="L496" s="1" t="str">
        <f t="shared" si="66"/>
        <v>✓ Match</v>
      </c>
      <c r="M496" s="24" t="str">
        <f t="shared" si="67"/>
        <v>CLEAN</v>
      </c>
    </row>
    <row r="497" spans="1:13" ht="15" customHeight="1" x14ac:dyDescent="0.35">
      <c r="A497" s="1" t="s">
        <v>158</v>
      </c>
      <c r="B497" s="2" t="s">
        <v>159</v>
      </c>
      <c r="C497" s="1" t="s">
        <v>11</v>
      </c>
      <c r="D497" s="1" t="s">
        <v>136</v>
      </c>
      <c r="E497" s="24" t="s">
        <v>37</v>
      </c>
      <c r="F497" s="1" t="s">
        <v>100</v>
      </c>
      <c r="G497" s="1" t="s">
        <v>35</v>
      </c>
      <c r="H497" s="3">
        <f t="shared" si="68"/>
        <v>11.166666666666668</v>
      </c>
      <c r="I497" s="24" t="str">
        <f t="shared" si="63"/>
        <v>On Time</v>
      </c>
      <c r="J497" s="1" t="str">
        <f t="shared" si="64"/>
        <v>Full Day</v>
      </c>
      <c r="K497" s="1" t="str">
        <f t="shared" si="65"/>
        <v>Full Day</v>
      </c>
      <c r="L497" s="1" t="str">
        <f t="shared" si="66"/>
        <v>✓ Match</v>
      </c>
      <c r="M497" s="24" t="str">
        <f t="shared" si="67"/>
        <v>CLEAN</v>
      </c>
    </row>
    <row r="498" spans="1:13" ht="15" customHeight="1" x14ac:dyDescent="0.35">
      <c r="A498" s="1" t="s">
        <v>112</v>
      </c>
      <c r="B498" s="2" t="s">
        <v>113</v>
      </c>
      <c r="C498" s="1" t="s">
        <v>30</v>
      </c>
      <c r="D498" s="1" t="s">
        <v>136</v>
      </c>
      <c r="E498" s="24" t="s">
        <v>19</v>
      </c>
      <c r="F498" s="1" t="s">
        <v>93</v>
      </c>
      <c r="G498" s="1" t="s">
        <v>71</v>
      </c>
      <c r="H498" s="3">
        <f t="shared" si="68"/>
        <v>9.4166666666666643</v>
      </c>
      <c r="I498" s="24" t="str">
        <f t="shared" si="63"/>
        <v>Late</v>
      </c>
      <c r="J498" s="1" t="str">
        <f t="shared" si="64"/>
        <v>Full Day</v>
      </c>
      <c r="K498" s="1" t="str">
        <f t="shared" si="65"/>
        <v>Full Day</v>
      </c>
      <c r="L498" s="1" t="str">
        <f t="shared" si="66"/>
        <v>✓ Match</v>
      </c>
      <c r="M498" s="24" t="str">
        <f t="shared" si="67"/>
        <v>CLEAN</v>
      </c>
    </row>
    <row r="499" spans="1:13" ht="15" customHeight="1" x14ac:dyDescent="0.35">
      <c r="A499" s="1" t="s">
        <v>47</v>
      </c>
      <c r="B499" s="2" t="s">
        <v>48</v>
      </c>
      <c r="C499" s="1" t="s">
        <v>18</v>
      </c>
      <c r="D499" s="1" t="s">
        <v>136</v>
      </c>
      <c r="E499" s="24" t="s">
        <v>19</v>
      </c>
      <c r="F499" s="1" t="s">
        <v>122</v>
      </c>
      <c r="G499" s="1" t="s">
        <v>165</v>
      </c>
      <c r="H499" s="3">
        <f t="shared" si="68"/>
        <v>6.9166666666666679</v>
      </c>
      <c r="I499" s="24" t="str">
        <f t="shared" si="63"/>
        <v>Late</v>
      </c>
      <c r="J499" s="1" t="str">
        <f t="shared" si="64"/>
        <v>Half Day</v>
      </c>
      <c r="K499" s="1" t="str">
        <f t="shared" si="65"/>
        <v>Half Day</v>
      </c>
      <c r="L499" s="1" t="str">
        <f t="shared" si="66"/>
        <v>✓ Match</v>
      </c>
      <c r="M499" s="24" t="str">
        <f t="shared" si="67"/>
        <v>CLEAN</v>
      </c>
    </row>
    <row r="500" spans="1:13" ht="15" customHeight="1" x14ac:dyDescent="0.35">
      <c r="A500" s="1" t="s">
        <v>57</v>
      </c>
      <c r="B500" s="2" t="s">
        <v>58</v>
      </c>
      <c r="C500" s="1" t="s">
        <v>30</v>
      </c>
      <c r="D500" s="1" t="s">
        <v>136</v>
      </c>
      <c r="E500" s="24" t="s">
        <v>13</v>
      </c>
      <c r="F500" s="1" t="s">
        <v>14</v>
      </c>
      <c r="G500" s="1" t="s">
        <v>15</v>
      </c>
      <c r="H500" s="3">
        <v>0</v>
      </c>
      <c r="I500" s="24" t="str">
        <f t="shared" si="63"/>
        <v/>
      </c>
      <c r="J500" s="1" t="str">
        <f t="shared" si="64"/>
        <v>Absent</v>
      </c>
      <c r="K500" s="1" t="str">
        <f t="shared" si="65"/>
        <v>N/A</v>
      </c>
      <c r="L500" s="1" t="str">
        <f t="shared" si="66"/>
        <v>⚠ Mismatch</v>
      </c>
      <c r="M500" s="24" t="str">
        <f t="shared" si="67"/>
        <v>REVIEW</v>
      </c>
    </row>
    <row r="501" spans="1:13" ht="15" customHeight="1" x14ac:dyDescent="0.35">
      <c r="A501" s="1" t="s">
        <v>130</v>
      </c>
      <c r="B501" s="2" t="s">
        <v>131</v>
      </c>
      <c r="C501" s="1" t="s">
        <v>11</v>
      </c>
      <c r="D501" s="1" t="s">
        <v>136</v>
      </c>
      <c r="E501" s="24" t="s">
        <v>19</v>
      </c>
      <c r="F501" s="1" t="s">
        <v>75</v>
      </c>
      <c r="G501" s="1" t="s">
        <v>85</v>
      </c>
      <c r="H501" s="3">
        <f t="shared" ref="H501:H512" si="69">IFERROR(MOD(TIMEVALUE(G501)-TIMEVALUE(F501),1)*24,0)</f>
        <v>7.9166666666666679</v>
      </c>
      <c r="I501" s="24" t="str">
        <f t="shared" si="63"/>
        <v>On Time</v>
      </c>
      <c r="J501" s="1" t="str">
        <f t="shared" si="64"/>
        <v>Half Day</v>
      </c>
      <c r="K501" s="1" t="str">
        <f t="shared" si="65"/>
        <v>Half Day</v>
      </c>
      <c r="L501" s="1" t="str">
        <f t="shared" si="66"/>
        <v>✓ Match</v>
      </c>
      <c r="M501" s="24" t="str">
        <f t="shared" si="67"/>
        <v>CLEAN</v>
      </c>
    </row>
    <row r="502" spans="1:13" ht="15" customHeight="1" x14ac:dyDescent="0.35">
      <c r="A502" s="1" t="s">
        <v>142</v>
      </c>
      <c r="B502" s="2" t="s">
        <v>143</v>
      </c>
      <c r="C502" s="1" t="s">
        <v>18</v>
      </c>
      <c r="D502" s="1" t="s">
        <v>136</v>
      </c>
      <c r="E502" s="24" t="s">
        <v>19</v>
      </c>
      <c r="F502" s="1" t="s">
        <v>160</v>
      </c>
      <c r="G502" s="1" t="s">
        <v>90</v>
      </c>
      <c r="H502" s="3">
        <f t="shared" si="69"/>
        <v>8.5</v>
      </c>
      <c r="I502" s="24" t="str">
        <f t="shared" si="63"/>
        <v>Late</v>
      </c>
      <c r="J502" s="1" t="str">
        <f t="shared" si="64"/>
        <v>Full Day</v>
      </c>
      <c r="K502" s="1" t="str">
        <f t="shared" si="65"/>
        <v>Full Day</v>
      </c>
      <c r="L502" s="1" t="str">
        <f t="shared" si="66"/>
        <v>✓ Match</v>
      </c>
      <c r="M502" s="24" t="str">
        <f t="shared" si="67"/>
        <v>CLEAN</v>
      </c>
    </row>
    <row r="503" spans="1:13" ht="15" customHeight="1" x14ac:dyDescent="0.35">
      <c r="A503" s="1" t="s">
        <v>82</v>
      </c>
      <c r="B503" s="2" t="s">
        <v>83</v>
      </c>
      <c r="C503" s="1" t="s">
        <v>68</v>
      </c>
      <c r="D503" s="1" t="s">
        <v>136</v>
      </c>
      <c r="E503" s="24" t="s">
        <v>19</v>
      </c>
      <c r="F503" s="1" t="s">
        <v>138</v>
      </c>
      <c r="G503" s="1" t="s">
        <v>123</v>
      </c>
      <c r="H503" s="3">
        <f t="shared" si="69"/>
        <v>11</v>
      </c>
      <c r="I503" s="24" t="str">
        <f t="shared" si="63"/>
        <v>Late</v>
      </c>
      <c r="J503" s="1" t="str">
        <f t="shared" si="64"/>
        <v>Full Day</v>
      </c>
      <c r="K503" s="1" t="str">
        <f t="shared" si="65"/>
        <v>Full Day</v>
      </c>
      <c r="L503" s="1" t="str">
        <f t="shared" si="66"/>
        <v>✓ Match</v>
      </c>
      <c r="M503" s="24" t="str">
        <f t="shared" si="67"/>
        <v>CLEAN</v>
      </c>
    </row>
    <row r="504" spans="1:13" ht="15" customHeight="1" x14ac:dyDescent="0.35">
      <c r="A504" s="1" t="s">
        <v>9</v>
      </c>
      <c r="B504" s="2" t="s">
        <v>10</v>
      </c>
      <c r="C504" s="1" t="s">
        <v>11</v>
      </c>
      <c r="D504" s="1" t="s">
        <v>136</v>
      </c>
      <c r="E504" s="24" t="s">
        <v>19</v>
      </c>
      <c r="F504" s="1" t="s">
        <v>70</v>
      </c>
      <c r="G504" s="1" t="s">
        <v>97</v>
      </c>
      <c r="H504" s="3">
        <f t="shared" si="69"/>
        <v>9.5</v>
      </c>
      <c r="I504" s="24" t="str">
        <f t="shared" si="63"/>
        <v>Late</v>
      </c>
      <c r="J504" s="1" t="str">
        <f t="shared" si="64"/>
        <v>Full Day</v>
      </c>
      <c r="K504" s="1" t="str">
        <f t="shared" si="65"/>
        <v>Full Day</v>
      </c>
      <c r="L504" s="1" t="str">
        <f t="shared" si="66"/>
        <v>✓ Match</v>
      </c>
      <c r="M504" s="24" t="str">
        <f t="shared" si="67"/>
        <v>CLEAN</v>
      </c>
    </row>
    <row r="505" spans="1:13" ht="15" customHeight="1" x14ac:dyDescent="0.35">
      <c r="A505" s="1" t="s">
        <v>95</v>
      </c>
      <c r="B505" s="2" t="s">
        <v>96</v>
      </c>
      <c r="C505" s="1" t="s">
        <v>68</v>
      </c>
      <c r="D505" s="1" t="s">
        <v>136</v>
      </c>
      <c r="E505" s="24" t="s">
        <v>19</v>
      </c>
      <c r="F505" s="1" t="s">
        <v>43</v>
      </c>
      <c r="G505" s="1" t="s">
        <v>165</v>
      </c>
      <c r="H505" s="3">
        <f t="shared" si="69"/>
        <v>7.75</v>
      </c>
      <c r="I505" s="24" t="str">
        <f t="shared" si="63"/>
        <v>On Time</v>
      </c>
      <c r="J505" s="1" t="str">
        <f t="shared" si="64"/>
        <v>Half Day</v>
      </c>
      <c r="K505" s="1" t="str">
        <f t="shared" si="65"/>
        <v>Half Day</v>
      </c>
      <c r="L505" s="1" t="str">
        <f t="shared" si="66"/>
        <v>✓ Match</v>
      </c>
      <c r="M505" s="24" t="str">
        <f t="shared" si="67"/>
        <v>CLEAN</v>
      </c>
    </row>
    <row r="506" spans="1:13" ht="15" customHeight="1" x14ac:dyDescent="0.35">
      <c r="A506" s="1" t="s">
        <v>53</v>
      </c>
      <c r="B506" s="2" t="s">
        <v>54</v>
      </c>
      <c r="C506" s="1" t="s">
        <v>18</v>
      </c>
      <c r="D506" s="1" t="s">
        <v>136</v>
      </c>
      <c r="E506" s="24" t="s">
        <v>19</v>
      </c>
      <c r="F506" s="1" t="s">
        <v>93</v>
      </c>
      <c r="G506" s="1" t="s">
        <v>50</v>
      </c>
      <c r="H506" s="3">
        <f t="shared" si="69"/>
        <v>6.666666666666667</v>
      </c>
      <c r="I506" s="24" t="str">
        <f t="shared" si="63"/>
        <v>Late</v>
      </c>
      <c r="J506" s="1" t="str">
        <f t="shared" si="64"/>
        <v>Half Day</v>
      </c>
      <c r="K506" s="1" t="str">
        <f t="shared" si="65"/>
        <v>Half Day</v>
      </c>
      <c r="L506" s="1" t="str">
        <f t="shared" si="66"/>
        <v>✓ Match</v>
      </c>
      <c r="M506" s="24" t="str">
        <f t="shared" si="67"/>
        <v>CLEAN</v>
      </c>
    </row>
    <row r="507" spans="1:13" ht="15" customHeight="1" x14ac:dyDescent="0.35">
      <c r="A507" s="1" t="s">
        <v>45</v>
      </c>
      <c r="B507" s="2" t="s">
        <v>46</v>
      </c>
      <c r="C507" s="1" t="s">
        <v>18</v>
      </c>
      <c r="D507" s="1" t="s">
        <v>136</v>
      </c>
      <c r="E507" s="24" t="s">
        <v>19</v>
      </c>
      <c r="F507" s="1" t="s">
        <v>140</v>
      </c>
      <c r="G507" s="1" t="s">
        <v>154</v>
      </c>
      <c r="H507" s="3">
        <f t="shared" si="69"/>
        <v>6.5833333333333313</v>
      </c>
      <c r="I507" s="24" t="str">
        <f t="shared" si="63"/>
        <v>Late</v>
      </c>
      <c r="J507" s="1" t="str">
        <f t="shared" si="64"/>
        <v>Half Day</v>
      </c>
      <c r="K507" s="1" t="str">
        <f t="shared" si="65"/>
        <v>Half Day</v>
      </c>
      <c r="L507" s="1" t="str">
        <f t="shared" si="66"/>
        <v>✓ Match</v>
      </c>
      <c r="M507" s="24" t="str">
        <f t="shared" si="67"/>
        <v>CLEAN</v>
      </c>
    </row>
    <row r="508" spans="1:13" ht="15" customHeight="1" x14ac:dyDescent="0.35">
      <c r="A508" s="1" t="s">
        <v>101</v>
      </c>
      <c r="B508" s="2" t="s">
        <v>102</v>
      </c>
      <c r="C508" s="1" t="s">
        <v>30</v>
      </c>
      <c r="D508" s="1" t="s">
        <v>136</v>
      </c>
      <c r="E508" s="24" t="s">
        <v>37</v>
      </c>
      <c r="F508" s="1" t="s">
        <v>32</v>
      </c>
      <c r="G508" s="1" t="s">
        <v>119</v>
      </c>
      <c r="H508" s="3">
        <f t="shared" si="69"/>
        <v>6.8333333333333339</v>
      </c>
      <c r="I508" s="24" t="str">
        <f t="shared" si="63"/>
        <v>On Time</v>
      </c>
      <c r="J508" s="1" t="str">
        <f t="shared" si="64"/>
        <v>Half Day</v>
      </c>
      <c r="K508" s="1" t="str">
        <f t="shared" si="65"/>
        <v>Half Day</v>
      </c>
      <c r="L508" s="1" t="str">
        <f t="shared" si="66"/>
        <v>✓ Match</v>
      </c>
      <c r="M508" s="24" t="str">
        <f t="shared" si="67"/>
        <v>CLEAN</v>
      </c>
    </row>
    <row r="509" spans="1:13" ht="15" customHeight="1" x14ac:dyDescent="0.35">
      <c r="A509" s="1" t="s">
        <v>124</v>
      </c>
      <c r="B509" s="2" t="s">
        <v>125</v>
      </c>
      <c r="C509" s="1" t="s">
        <v>68</v>
      </c>
      <c r="D509" s="1" t="s">
        <v>136</v>
      </c>
      <c r="E509" s="24" t="s">
        <v>19</v>
      </c>
      <c r="F509" s="1" t="s">
        <v>167</v>
      </c>
      <c r="G509" s="1" t="s">
        <v>71</v>
      </c>
      <c r="H509" s="3">
        <f t="shared" si="69"/>
        <v>8.5833333333333339</v>
      </c>
      <c r="I509" s="24" t="str">
        <f t="shared" si="63"/>
        <v>Late</v>
      </c>
      <c r="J509" s="1" t="str">
        <f t="shared" si="64"/>
        <v>Full Day</v>
      </c>
      <c r="K509" s="1" t="str">
        <f t="shared" si="65"/>
        <v>Full Day</v>
      </c>
      <c r="L509" s="1" t="str">
        <f t="shared" si="66"/>
        <v>✓ Match</v>
      </c>
      <c r="M509" s="24" t="str">
        <f t="shared" si="67"/>
        <v>CLEAN</v>
      </c>
    </row>
    <row r="510" spans="1:13" ht="15" customHeight="1" x14ac:dyDescent="0.35">
      <c r="A510" s="1" t="s">
        <v>91</v>
      </c>
      <c r="B510" s="2" t="s">
        <v>92</v>
      </c>
      <c r="C510" s="1" t="s">
        <v>18</v>
      </c>
      <c r="D510" s="1" t="s">
        <v>136</v>
      </c>
      <c r="E510" s="24" t="s">
        <v>19</v>
      </c>
      <c r="F510" s="1" t="s">
        <v>163</v>
      </c>
      <c r="G510" s="1" t="s">
        <v>44</v>
      </c>
      <c r="H510" s="3">
        <f t="shared" si="69"/>
        <v>10.166666666666666</v>
      </c>
      <c r="I510" s="24" t="str">
        <f t="shared" si="63"/>
        <v>On Time</v>
      </c>
      <c r="J510" s="1" t="str">
        <f t="shared" si="64"/>
        <v>Full Day</v>
      </c>
      <c r="K510" s="1" t="str">
        <f t="shared" si="65"/>
        <v>Full Day</v>
      </c>
      <c r="L510" s="1" t="str">
        <f t="shared" si="66"/>
        <v>✓ Match</v>
      </c>
      <c r="M510" s="24" t="str">
        <f t="shared" si="67"/>
        <v>CLEAN</v>
      </c>
    </row>
    <row r="511" spans="1:13" ht="15" customHeight="1" x14ac:dyDescent="0.35">
      <c r="A511" s="1" t="s">
        <v>61</v>
      </c>
      <c r="B511" s="2" t="s">
        <v>62</v>
      </c>
      <c r="C511" s="1" t="s">
        <v>11</v>
      </c>
      <c r="D511" s="1" t="s">
        <v>136</v>
      </c>
      <c r="E511" s="24" t="s">
        <v>37</v>
      </c>
      <c r="F511" s="1" t="s">
        <v>138</v>
      </c>
      <c r="G511" s="1" t="s">
        <v>165</v>
      </c>
      <c r="H511" s="3">
        <f t="shared" si="69"/>
        <v>7.0833333333333348</v>
      </c>
      <c r="I511" s="24" t="str">
        <f t="shared" si="63"/>
        <v>Late</v>
      </c>
      <c r="J511" s="1" t="str">
        <f t="shared" si="64"/>
        <v>Half Day</v>
      </c>
      <c r="K511" s="1" t="str">
        <f t="shared" si="65"/>
        <v>Half Day</v>
      </c>
      <c r="L511" s="1" t="str">
        <f t="shared" si="66"/>
        <v>✓ Match</v>
      </c>
      <c r="M511" s="24" t="str">
        <f t="shared" si="67"/>
        <v>CLEAN</v>
      </c>
    </row>
    <row r="512" spans="1:13" ht="15" customHeight="1" x14ac:dyDescent="0.35">
      <c r="A512" s="1" t="s">
        <v>66</v>
      </c>
      <c r="B512" s="2" t="s">
        <v>67</v>
      </c>
      <c r="C512" s="1" t="s">
        <v>68</v>
      </c>
      <c r="D512" s="1" t="s">
        <v>136</v>
      </c>
      <c r="E512" s="24" t="s">
        <v>19</v>
      </c>
      <c r="F512" s="1" t="s">
        <v>32</v>
      </c>
      <c r="G512" s="1" t="s">
        <v>107</v>
      </c>
      <c r="H512" s="3">
        <f t="shared" si="69"/>
        <v>10.083333333333334</v>
      </c>
      <c r="I512" s="24" t="str">
        <f t="shared" si="63"/>
        <v>On Time</v>
      </c>
      <c r="J512" s="1" t="str">
        <f t="shared" si="64"/>
        <v>Full Day</v>
      </c>
      <c r="K512" s="1" t="str">
        <f t="shared" si="65"/>
        <v>Full Day</v>
      </c>
      <c r="L512" s="1" t="str">
        <f t="shared" si="66"/>
        <v>✓ Match</v>
      </c>
      <c r="M512" s="24" t="str">
        <f t="shared" si="67"/>
        <v>CLEAN</v>
      </c>
    </row>
    <row r="513" spans="1:13" ht="15" customHeight="1" x14ac:dyDescent="0.35">
      <c r="A513" s="1" t="s">
        <v>28</v>
      </c>
      <c r="B513" s="2" t="s">
        <v>29</v>
      </c>
      <c r="C513" s="1" t="s">
        <v>30</v>
      </c>
      <c r="D513" s="1" t="s">
        <v>52</v>
      </c>
      <c r="E513" s="24" t="s">
        <v>13</v>
      </c>
      <c r="F513" s="1" t="s">
        <v>14</v>
      </c>
      <c r="G513" s="1" t="s">
        <v>15</v>
      </c>
      <c r="H513" s="3">
        <v>0</v>
      </c>
      <c r="I513" s="24" t="str">
        <f t="shared" si="63"/>
        <v/>
      </c>
      <c r="J513" s="1" t="str">
        <f t="shared" si="64"/>
        <v>Absent</v>
      </c>
      <c r="K513" s="1" t="str">
        <f t="shared" si="65"/>
        <v>N/A</v>
      </c>
      <c r="L513" s="1" t="str">
        <f t="shared" si="66"/>
        <v>⚠ Mismatch</v>
      </c>
      <c r="M513" s="24" t="str">
        <f t="shared" si="67"/>
        <v>REVIEW</v>
      </c>
    </row>
    <row r="514" spans="1:13" ht="15" customHeight="1" x14ac:dyDescent="0.35">
      <c r="A514" s="1" t="s">
        <v>112</v>
      </c>
      <c r="B514" s="2" t="s">
        <v>113</v>
      </c>
      <c r="C514" s="1" t="s">
        <v>30</v>
      </c>
      <c r="D514" s="1" t="s">
        <v>52</v>
      </c>
      <c r="E514" s="24" t="s">
        <v>19</v>
      </c>
      <c r="F514" s="1" t="s">
        <v>138</v>
      </c>
      <c r="G514" s="1" t="s">
        <v>108</v>
      </c>
      <c r="H514" s="3">
        <f>IFERROR(MOD(TIMEVALUE(G514)-TIMEVALUE(F514),1)*24,0)</f>
        <v>11.333333333333332</v>
      </c>
      <c r="I514" s="24" t="str">
        <f t="shared" si="63"/>
        <v>Late</v>
      </c>
      <c r="J514" s="1" t="str">
        <f t="shared" si="64"/>
        <v>Full Day</v>
      </c>
      <c r="K514" s="1" t="str">
        <f t="shared" si="65"/>
        <v>Full Day</v>
      </c>
      <c r="L514" s="1" t="str">
        <f t="shared" si="66"/>
        <v>✓ Match</v>
      </c>
      <c r="M514" s="24" t="str">
        <f t="shared" si="67"/>
        <v>CLEAN</v>
      </c>
    </row>
    <row r="515" spans="1:13" ht="15" customHeight="1" x14ac:dyDescent="0.35">
      <c r="A515" s="1" t="s">
        <v>61</v>
      </c>
      <c r="B515" s="2" t="s">
        <v>62</v>
      </c>
      <c r="C515" s="1" t="s">
        <v>11</v>
      </c>
      <c r="D515" s="1" t="s">
        <v>52</v>
      </c>
      <c r="E515" s="24" t="s">
        <v>19</v>
      </c>
      <c r="F515" s="1" t="s">
        <v>100</v>
      </c>
      <c r="G515" s="1" t="s">
        <v>148</v>
      </c>
      <c r="H515" s="3">
        <f>IFERROR(MOD(TIMEVALUE(G515)-TIMEVALUE(F515),1)*24,0)</f>
        <v>8.75</v>
      </c>
      <c r="I515" s="24" t="str">
        <f t="shared" ref="I515:I578" si="70">IF(F515="No Login","",IF(TIMEVALUE(F515)&gt;TIMEVALUE("09:00"),"Late","On Time"))</f>
        <v>On Time</v>
      </c>
      <c r="J515" s="1" t="str">
        <f t="shared" ref="J515:J578" si="71">IF(E515="Absent","Absent",IF(H515&gt;=8,"Full Day",IF(H515&gt;=4,"Half Day","Short")))</f>
        <v>Full Day</v>
      </c>
      <c r="K515" s="1" t="str">
        <f t="shared" ref="K515:K578" si="72">IF(E515="Absent","N/A",IF(H515&gt;=8,"Full Day",IF(H515&gt;=4,"Half Day","Short")))</f>
        <v>Full Day</v>
      </c>
      <c r="L515" s="1" t="str">
        <f t="shared" ref="L515:L578" si="73">IF(J515=K515,"✓ Match","⚠ Mismatch")</f>
        <v>✓ Match</v>
      </c>
      <c r="M515" s="24" t="str">
        <f t="shared" ref="M515:M578" si="74">IF(AND(J515=K515,OR(E515="Present",E515="Work From Home",E515="Absent")),"CLEAN","REVIEW")</f>
        <v>CLEAN</v>
      </c>
    </row>
    <row r="516" spans="1:13" ht="15" customHeight="1" x14ac:dyDescent="0.35">
      <c r="A516" s="1" t="s">
        <v>22</v>
      </c>
      <c r="B516" s="2" t="s">
        <v>23</v>
      </c>
      <c r="C516" s="1" t="s">
        <v>24</v>
      </c>
      <c r="D516" s="1" t="s">
        <v>52</v>
      </c>
      <c r="E516" s="24" t="s">
        <v>19</v>
      </c>
      <c r="F516" s="1" t="s">
        <v>140</v>
      </c>
      <c r="G516" s="1" t="s">
        <v>27</v>
      </c>
      <c r="H516" s="3">
        <f>IFERROR(MOD(TIMEVALUE(G516)-TIMEVALUE(F516),1)*24,0)</f>
        <v>11</v>
      </c>
      <c r="I516" s="24" t="str">
        <f t="shared" si="70"/>
        <v>Late</v>
      </c>
      <c r="J516" s="1" t="str">
        <f t="shared" si="71"/>
        <v>Full Day</v>
      </c>
      <c r="K516" s="1" t="str">
        <f t="shared" si="72"/>
        <v>Full Day</v>
      </c>
      <c r="L516" s="1" t="str">
        <f t="shared" si="73"/>
        <v>✓ Match</v>
      </c>
      <c r="M516" s="24" t="str">
        <f t="shared" si="74"/>
        <v>CLEAN</v>
      </c>
    </row>
    <row r="517" spans="1:13" ht="15" customHeight="1" x14ac:dyDescent="0.35">
      <c r="A517" s="1" t="s">
        <v>110</v>
      </c>
      <c r="B517" s="2" t="s">
        <v>111</v>
      </c>
      <c r="C517" s="1" t="s">
        <v>68</v>
      </c>
      <c r="D517" s="1" t="s">
        <v>52</v>
      </c>
      <c r="E517" s="24" t="s">
        <v>13</v>
      </c>
      <c r="F517" s="1" t="s">
        <v>14</v>
      </c>
      <c r="G517" s="1" t="s">
        <v>15</v>
      </c>
      <c r="H517" s="3">
        <v>0</v>
      </c>
      <c r="I517" s="24" t="str">
        <f t="shared" si="70"/>
        <v/>
      </c>
      <c r="J517" s="1" t="str">
        <f t="shared" si="71"/>
        <v>Absent</v>
      </c>
      <c r="K517" s="1" t="str">
        <f t="shared" si="72"/>
        <v>N/A</v>
      </c>
      <c r="L517" s="1" t="str">
        <f t="shared" si="73"/>
        <v>⚠ Mismatch</v>
      </c>
      <c r="M517" s="24" t="str">
        <f t="shared" si="74"/>
        <v>REVIEW</v>
      </c>
    </row>
    <row r="518" spans="1:13" ht="15" customHeight="1" x14ac:dyDescent="0.35">
      <c r="A518" s="1" t="s">
        <v>158</v>
      </c>
      <c r="B518" s="2" t="s">
        <v>159</v>
      </c>
      <c r="C518" s="1" t="s">
        <v>11</v>
      </c>
      <c r="D518" s="1" t="s">
        <v>52</v>
      </c>
      <c r="E518" s="24" t="s">
        <v>19</v>
      </c>
      <c r="F518" s="1" t="s">
        <v>32</v>
      </c>
      <c r="G518" s="1" t="s">
        <v>156</v>
      </c>
      <c r="H518" s="3">
        <f>IFERROR(MOD(TIMEVALUE(G518)-TIMEVALUE(F518),1)*24,0)</f>
        <v>9.3333333333333339</v>
      </c>
      <c r="I518" s="24" t="str">
        <f t="shared" si="70"/>
        <v>On Time</v>
      </c>
      <c r="J518" s="1" t="str">
        <f t="shared" si="71"/>
        <v>Full Day</v>
      </c>
      <c r="K518" s="1" t="str">
        <f t="shared" si="72"/>
        <v>Full Day</v>
      </c>
      <c r="L518" s="1" t="str">
        <f t="shared" si="73"/>
        <v>✓ Match</v>
      </c>
      <c r="M518" s="24" t="str">
        <f t="shared" si="74"/>
        <v>CLEAN</v>
      </c>
    </row>
    <row r="519" spans="1:13" ht="15" customHeight="1" x14ac:dyDescent="0.35">
      <c r="A519" s="1" t="s">
        <v>57</v>
      </c>
      <c r="B519" s="2" t="s">
        <v>58</v>
      </c>
      <c r="C519" s="1" t="s">
        <v>30</v>
      </c>
      <c r="D519" s="1" t="s">
        <v>52</v>
      </c>
      <c r="E519" s="24" t="s">
        <v>19</v>
      </c>
      <c r="F519" s="1" t="s">
        <v>93</v>
      </c>
      <c r="G519" s="1" t="s">
        <v>27</v>
      </c>
      <c r="H519" s="3">
        <f>IFERROR(MOD(TIMEVALUE(G519)-TIMEVALUE(F519),1)*24,0)</f>
        <v>10.416666666666668</v>
      </c>
      <c r="I519" s="24" t="str">
        <f t="shared" si="70"/>
        <v>Late</v>
      </c>
      <c r="J519" s="1" t="str">
        <f t="shared" si="71"/>
        <v>Full Day</v>
      </c>
      <c r="K519" s="1" t="str">
        <f t="shared" si="72"/>
        <v>Full Day</v>
      </c>
      <c r="L519" s="1" t="str">
        <f t="shared" si="73"/>
        <v>✓ Match</v>
      </c>
      <c r="M519" s="24" t="str">
        <f t="shared" si="74"/>
        <v>CLEAN</v>
      </c>
    </row>
    <row r="520" spans="1:13" ht="15" customHeight="1" x14ac:dyDescent="0.35">
      <c r="A520" s="1" t="s">
        <v>120</v>
      </c>
      <c r="B520" s="2" t="s">
        <v>121</v>
      </c>
      <c r="C520" s="1" t="s">
        <v>11</v>
      </c>
      <c r="D520" s="1" t="s">
        <v>52</v>
      </c>
      <c r="E520" s="24" t="s">
        <v>13</v>
      </c>
      <c r="F520" s="1" t="s">
        <v>14</v>
      </c>
      <c r="G520" s="1" t="s">
        <v>15</v>
      </c>
      <c r="H520" s="3">
        <v>0</v>
      </c>
      <c r="I520" s="24" t="str">
        <f t="shared" si="70"/>
        <v/>
      </c>
      <c r="J520" s="1" t="str">
        <f t="shared" si="71"/>
        <v>Absent</v>
      </c>
      <c r="K520" s="1" t="str">
        <f t="shared" si="72"/>
        <v>N/A</v>
      </c>
      <c r="L520" s="1" t="str">
        <f t="shared" si="73"/>
        <v>⚠ Mismatch</v>
      </c>
      <c r="M520" s="24" t="str">
        <f t="shared" si="74"/>
        <v>REVIEW</v>
      </c>
    </row>
    <row r="521" spans="1:13" ht="15" customHeight="1" x14ac:dyDescent="0.35">
      <c r="A521" s="1" t="s">
        <v>91</v>
      </c>
      <c r="B521" s="2" t="s">
        <v>92</v>
      </c>
      <c r="C521" s="1" t="s">
        <v>18</v>
      </c>
      <c r="D521" s="1" t="s">
        <v>52</v>
      </c>
      <c r="E521" s="24" t="s">
        <v>19</v>
      </c>
      <c r="F521" s="1" t="s">
        <v>122</v>
      </c>
      <c r="G521" s="1" t="s">
        <v>141</v>
      </c>
      <c r="H521" s="3">
        <f t="shared" ref="H521:H528" si="75">IFERROR(MOD(TIMEVALUE(G521)-TIMEVALUE(F521),1)*24,0)</f>
        <v>9.9999999999999982</v>
      </c>
      <c r="I521" s="24" t="str">
        <f t="shared" si="70"/>
        <v>Late</v>
      </c>
      <c r="J521" s="1" t="str">
        <f t="shared" si="71"/>
        <v>Full Day</v>
      </c>
      <c r="K521" s="1" t="str">
        <f t="shared" si="72"/>
        <v>Full Day</v>
      </c>
      <c r="L521" s="1" t="str">
        <f t="shared" si="73"/>
        <v>✓ Match</v>
      </c>
      <c r="M521" s="24" t="str">
        <f t="shared" si="74"/>
        <v>CLEAN</v>
      </c>
    </row>
    <row r="522" spans="1:13" ht="15" customHeight="1" x14ac:dyDescent="0.35">
      <c r="A522" s="1" t="s">
        <v>150</v>
      </c>
      <c r="B522" s="2" t="s">
        <v>151</v>
      </c>
      <c r="C522" s="1" t="s">
        <v>68</v>
      </c>
      <c r="D522" s="1" t="s">
        <v>52</v>
      </c>
      <c r="E522" s="24" t="s">
        <v>19</v>
      </c>
      <c r="F522" s="1" t="s">
        <v>70</v>
      </c>
      <c r="G522" s="1" t="s">
        <v>123</v>
      </c>
      <c r="H522" s="3">
        <f t="shared" si="75"/>
        <v>9.4166666666666661</v>
      </c>
      <c r="I522" s="24" t="str">
        <f t="shared" si="70"/>
        <v>Late</v>
      </c>
      <c r="J522" s="1" t="str">
        <f t="shared" si="71"/>
        <v>Full Day</v>
      </c>
      <c r="K522" s="1" t="str">
        <f t="shared" si="72"/>
        <v>Full Day</v>
      </c>
      <c r="L522" s="1" t="str">
        <f t="shared" si="73"/>
        <v>✓ Match</v>
      </c>
      <c r="M522" s="24" t="str">
        <f t="shared" si="74"/>
        <v>CLEAN</v>
      </c>
    </row>
    <row r="523" spans="1:13" ht="15" customHeight="1" x14ac:dyDescent="0.35">
      <c r="A523" s="1" t="s">
        <v>16</v>
      </c>
      <c r="B523" s="2" t="s">
        <v>17</v>
      </c>
      <c r="C523" s="1" t="s">
        <v>18</v>
      </c>
      <c r="D523" s="1" t="s">
        <v>52</v>
      </c>
      <c r="E523" s="24" t="s">
        <v>19</v>
      </c>
      <c r="F523" s="1" t="s">
        <v>122</v>
      </c>
      <c r="G523" s="1" t="s">
        <v>97</v>
      </c>
      <c r="H523" s="3">
        <f t="shared" si="75"/>
        <v>10.916666666666666</v>
      </c>
      <c r="I523" s="24" t="str">
        <f t="shared" si="70"/>
        <v>Late</v>
      </c>
      <c r="J523" s="1" t="str">
        <f t="shared" si="71"/>
        <v>Full Day</v>
      </c>
      <c r="K523" s="1" t="str">
        <f t="shared" si="72"/>
        <v>Full Day</v>
      </c>
      <c r="L523" s="1" t="str">
        <f t="shared" si="73"/>
        <v>✓ Match</v>
      </c>
      <c r="M523" s="24" t="str">
        <f t="shared" si="74"/>
        <v>CLEAN</v>
      </c>
    </row>
    <row r="524" spans="1:13" ht="15" customHeight="1" x14ac:dyDescent="0.35">
      <c r="A524" s="1" t="s">
        <v>117</v>
      </c>
      <c r="B524" s="2" t="s">
        <v>118</v>
      </c>
      <c r="C524" s="1" t="s">
        <v>30</v>
      </c>
      <c r="D524" s="1" t="s">
        <v>52</v>
      </c>
      <c r="E524" s="24" t="s">
        <v>19</v>
      </c>
      <c r="F524" s="1" t="s">
        <v>128</v>
      </c>
      <c r="G524" s="1" t="s">
        <v>85</v>
      </c>
      <c r="H524" s="3">
        <f t="shared" si="75"/>
        <v>6.6666666666666679</v>
      </c>
      <c r="I524" s="24" t="str">
        <f t="shared" si="70"/>
        <v>Late</v>
      </c>
      <c r="J524" s="1" t="str">
        <f t="shared" si="71"/>
        <v>Half Day</v>
      </c>
      <c r="K524" s="1" t="str">
        <f t="shared" si="72"/>
        <v>Half Day</v>
      </c>
      <c r="L524" s="1" t="str">
        <f t="shared" si="73"/>
        <v>✓ Match</v>
      </c>
      <c r="M524" s="24" t="str">
        <f t="shared" si="74"/>
        <v>CLEAN</v>
      </c>
    </row>
    <row r="525" spans="1:13" ht="15" customHeight="1" x14ac:dyDescent="0.35">
      <c r="A525" s="1" t="s">
        <v>101</v>
      </c>
      <c r="B525" s="2" t="s">
        <v>102</v>
      </c>
      <c r="C525" s="1" t="s">
        <v>30</v>
      </c>
      <c r="D525" s="1" t="s">
        <v>52</v>
      </c>
      <c r="E525" s="24" t="s">
        <v>37</v>
      </c>
      <c r="F525" s="1" t="s">
        <v>32</v>
      </c>
      <c r="G525" s="1" t="s">
        <v>165</v>
      </c>
      <c r="H525" s="3">
        <f t="shared" si="75"/>
        <v>8.0833333333333357</v>
      </c>
      <c r="I525" s="24" t="str">
        <f t="shared" si="70"/>
        <v>On Time</v>
      </c>
      <c r="J525" s="1" t="str">
        <f t="shared" si="71"/>
        <v>Full Day</v>
      </c>
      <c r="K525" s="1" t="str">
        <f t="shared" si="72"/>
        <v>Full Day</v>
      </c>
      <c r="L525" s="1" t="str">
        <f t="shared" si="73"/>
        <v>✓ Match</v>
      </c>
      <c r="M525" s="24" t="str">
        <f t="shared" si="74"/>
        <v>CLEAN</v>
      </c>
    </row>
    <row r="526" spans="1:13" ht="15" customHeight="1" x14ac:dyDescent="0.35">
      <c r="A526" s="1" t="s">
        <v>130</v>
      </c>
      <c r="B526" s="2" t="s">
        <v>131</v>
      </c>
      <c r="C526" s="1" t="s">
        <v>11</v>
      </c>
      <c r="D526" s="1" t="s">
        <v>52</v>
      </c>
      <c r="E526" s="24" t="s">
        <v>19</v>
      </c>
      <c r="F526" s="1" t="s">
        <v>122</v>
      </c>
      <c r="G526" s="1" t="s">
        <v>71</v>
      </c>
      <c r="H526" s="3">
        <f t="shared" si="75"/>
        <v>10.416666666666666</v>
      </c>
      <c r="I526" s="24" t="str">
        <f t="shared" si="70"/>
        <v>Late</v>
      </c>
      <c r="J526" s="1" t="str">
        <f t="shared" si="71"/>
        <v>Full Day</v>
      </c>
      <c r="K526" s="1" t="str">
        <f t="shared" si="72"/>
        <v>Full Day</v>
      </c>
      <c r="L526" s="1" t="str">
        <f t="shared" si="73"/>
        <v>✓ Match</v>
      </c>
      <c r="M526" s="24" t="str">
        <f t="shared" si="74"/>
        <v>CLEAN</v>
      </c>
    </row>
    <row r="527" spans="1:13" ht="15" customHeight="1" x14ac:dyDescent="0.35">
      <c r="A527" s="1" t="s">
        <v>79</v>
      </c>
      <c r="B527" s="2" t="s">
        <v>80</v>
      </c>
      <c r="C527" s="1" t="s">
        <v>18</v>
      </c>
      <c r="D527" s="1" t="s">
        <v>52</v>
      </c>
      <c r="E527" s="24" t="s">
        <v>19</v>
      </c>
      <c r="F527" s="1" t="s">
        <v>140</v>
      </c>
      <c r="G527" s="1" t="s">
        <v>44</v>
      </c>
      <c r="H527" s="3">
        <f t="shared" si="75"/>
        <v>8.75</v>
      </c>
      <c r="I527" s="24" t="str">
        <f t="shared" si="70"/>
        <v>Late</v>
      </c>
      <c r="J527" s="1" t="str">
        <f t="shared" si="71"/>
        <v>Full Day</v>
      </c>
      <c r="K527" s="1" t="str">
        <f t="shared" si="72"/>
        <v>Full Day</v>
      </c>
      <c r="L527" s="1" t="str">
        <f t="shared" si="73"/>
        <v>✓ Match</v>
      </c>
      <c r="M527" s="24" t="str">
        <f t="shared" si="74"/>
        <v>CLEAN</v>
      </c>
    </row>
    <row r="528" spans="1:13" ht="15" customHeight="1" x14ac:dyDescent="0.35">
      <c r="A528" s="1" t="s">
        <v>47</v>
      </c>
      <c r="B528" s="2" t="s">
        <v>48</v>
      </c>
      <c r="C528" s="1" t="s">
        <v>18</v>
      </c>
      <c r="D528" s="1" t="s">
        <v>52</v>
      </c>
      <c r="E528" s="24" t="s">
        <v>19</v>
      </c>
      <c r="F528" s="1" t="s">
        <v>64</v>
      </c>
      <c r="G528" s="1" t="s">
        <v>39</v>
      </c>
      <c r="H528" s="3">
        <f t="shared" si="75"/>
        <v>10.666666666666666</v>
      </c>
      <c r="I528" s="24" t="str">
        <f t="shared" si="70"/>
        <v>On Time</v>
      </c>
      <c r="J528" s="1" t="str">
        <f t="shared" si="71"/>
        <v>Full Day</v>
      </c>
      <c r="K528" s="1" t="str">
        <f t="shared" si="72"/>
        <v>Full Day</v>
      </c>
      <c r="L528" s="1" t="str">
        <f t="shared" si="73"/>
        <v>✓ Match</v>
      </c>
      <c r="M528" s="24" t="str">
        <f t="shared" si="74"/>
        <v>CLEAN</v>
      </c>
    </row>
    <row r="529" spans="1:13" ht="15" customHeight="1" x14ac:dyDescent="0.35">
      <c r="A529" s="1" t="s">
        <v>142</v>
      </c>
      <c r="B529" s="2" t="s">
        <v>143</v>
      </c>
      <c r="C529" s="1" t="s">
        <v>18</v>
      </c>
      <c r="D529" s="1" t="s">
        <v>52</v>
      </c>
      <c r="E529" s="24" t="s">
        <v>13</v>
      </c>
      <c r="F529" s="1" t="s">
        <v>14</v>
      </c>
      <c r="G529" s="1" t="s">
        <v>15</v>
      </c>
      <c r="H529" s="3">
        <v>0</v>
      </c>
      <c r="I529" s="24" t="str">
        <f t="shared" si="70"/>
        <v/>
      </c>
      <c r="J529" s="1" t="str">
        <f t="shared" si="71"/>
        <v>Absent</v>
      </c>
      <c r="K529" s="1" t="str">
        <f t="shared" si="72"/>
        <v>N/A</v>
      </c>
      <c r="L529" s="1" t="str">
        <f t="shared" si="73"/>
        <v>⚠ Mismatch</v>
      </c>
      <c r="M529" s="24" t="str">
        <f t="shared" si="74"/>
        <v>REVIEW</v>
      </c>
    </row>
    <row r="530" spans="1:13" ht="15" customHeight="1" x14ac:dyDescent="0.35">
      <c r="A530" s="1" t="s">
        <v>53</v>
      </c>
      <c r="B530" s="2" t="s">
        <v>54</v>
      </c>
      <c r="C530" s="1" t="s">
        <v>18</v>
      </c>
      <c r="D530" s="1" t="s">
        <v>52</v>
      </c>
      <c r="E530" s="24" t="s">
        <v>19</v>
      </c>
      <c r="F530" s="1" t="s">
        <v>129</v>
      </c>
      <c r="G530" s="1" t="s">
        <v>107</v>
      </c>
      <c r="H530" s="3">
        <f>IFERROR(MOD(TIMEVALUE(G530)-TIMEVALUE(F530),1)*24,0)</f>
        <v>9.25</v>
      </c>
      <c r="I530" s="24" t="str">
        <f t="shared" si="70"/>
        <v>On Time</v>
      </c>
      <c r="J530" s="1" t="str">
        <f t="shared" si="71"/>
        <v>Full Day</v>
      </c>
      <c r="K530" s="1" t="str">
        <f t="shared" si="72"/>
        <v>Full Day</v>
      </c>
      <c r="L530" s="1" t="str">
        <f t="shared" si="73"/>
        <v>✓ Match</v>
      </c>
      <c r="M530" s="24" t="str">
        <f t="shared" si="74"/>
        <v>CLEAN</v>
      </c>
    </row>
    <row r="531" spans="1:13" ht="15" customHeight="1" x14ac:dyDescent="0.35">
      <c r="A531" s="1" t="s">
        <v>105</v>
      </c>
      <c r="B531" s="2" t="s">
        <v>106</v>
      </c>
      <c r="C531" s="1" t="s">
        <v>11</v>
      </c>
      <c r="D531" s="1" t="s">
        <v>52</v>
      </c>
      <c r="E531" s="24" t="s">
        <v>19</v>
      </c>
      <c r="F531" s="1" t="s">
        <v>122</v>
      </c>
      <c r="G531" s="1" t="s">
        <v>35</v>
      </c>
      <c r="H531" s="3">
        <f>IFERROR(MOD(TIMEVALUE(G531)-TIMEVALUE(F531),1)*24,0)</f>
        <v>9.8333333333333339</v>
      </c>
      <c r="I531" s="24" t="str">
        <f t="shared" si="70"/>
        <v>Late</v>
      </c>
      <c r="J531" s="1" t="str">
        <f t="shared" si="71"/>
        <v>Full Day</v>
      </c>
      <c r="K531" s="1" t="str">
        <f t="shared" si="72"/>
        <v>Full Day</v>
      </c>
      <c r="L531" s="1" t="str">
        <f t="shared" si="73"/>
        <v>✓ Match</v>
      </c>
      <c r="M531" s="24" t="str">
        <f t="shared" si="74"/>
        <v>CLEAN</v>
      </c>
    </row>
    <row r="532" spans="1:13" ht="15" customHeight="1" x14ac:dyDescent="0.35">
      <c r="A532" s="1" t="s">
        <v>40</v>
      </c>
      <c r="B532" s="2" t="s">
        <v>41</v>
      </c>
      <c r="C532" s="1" t="s">
        <v>24</v>
      </c>
      <c r="D532" s="1" t="s">
        <v>52</v>
      </c>
      <c r="E532" s="24" t="s">
        <v>13</v>
      </c>
      <c r="F532" s="1" t="s">
        <v>14</v>
      </c>
      <c r="G532" s="1" t="s">
        <v>15</v>
      </c>
      <c r="H532" s="3">
        <v>0</v>
      </c>
      <c r="I532" s="24" t="str">
        <f t="shared" si="70"/>
        <v/>
      </c>
      <c r="J532" s="1" t="str">
        <f t="shared" si="71"/>
        <v>Absent</v>
      </c>
      <c r="K532" s="1" t="str">
        <f t="shared" si="72"/>
        <v>N/A</v>
      </c>
      <c r="L532" s="1" t="str">
        <f t="shared" si="73"/>
        <v>⚠ Mismatch</v>
      </c>
      <c r="M532" s="24" t="str">
        <f t="shared" si="74"/>
        <v>REVIEW</v>
      </c>
    </row>
    <row r="533" spans="1:13" ht="15" customHeight="1" x14ac:dyDescent="0.35">
      <c r="A533" s="1" t="s">
        <v>98</v>
      </c>
      <c r="B533" s="2" t="s">
        <v>99</v>
      </c>
      <c r="C533" s="1" t="s">
        <v>18</v>
      </c>
      <c r="D533" s="1" t="s">
        <v>52</v>
      </c>
      <c r="E533" s="24" t="s">
        <v>37</v>
      </c>
      <c r="F533" s="1" t="s">
        <v>163</v>
      </c>
      <c r="G533" s="1" t="s">
        <v>155</v>
      </c>
      <c r="H533" s="3">
        <f>IFERROR(MOD(TIMEVALUE(G533)-TIMEVALUE(F533),1)*24,0)</f>
        <v>8.8333333333333321</v>
      </c>
      <c r="I533" s="24" t="str">
        <f t="shared" si="70"/>
        <v>On Time</v>
      </c>
      <c r="J533" s="1" t="str">
        <f t="shared" si="71"/>
        <v>Full Day</v>
      </c>
      <c r="K533" s="1" t="str">
        <f t="shared" si="72"/>
        <v>Full Day</v>
      </c>
      <c r="L533" s="1" t="str">
        <f t="shared" si="73"/>
        <v>✓ Match</v>
      </c>
      <c r="M533" s="24" t="str">
        <f t="shared" si="74"/>
        <v>CLEAN</v>
      </c>
    </row>
    <row r="534" spans="1:13" ht="15" customHeight="1" x14ac:dyDescent="0.35">
      <c r="A534" s="1" t="s">
        <v>66</v>
      </c>
      <c r="B534" s="2" t="s">
        <v>67</v>
      </c>
      <c r="C534" s="1" t="s">
        <v>68</v>
      </c>
      <c r="D534" s="1" t="s">
        <v>52</v>
      </c>
      <c r="E534" s="24" t="s">
        <v>13</v>
      </c>
      <c r="F534" s="1" t="s">
        <v>14</v>
      </c>
      <c r="G534" s="1" t="s">
        <v>15</v>
      </c>
      <c r="H534" s="3">
        <v>0</v>
      </c>
      <c r="I534" s="24" t="str">
        <f t="shared" si="70"/>
        <v/>
      </c>
      <c r="J534" s="1" t="str">
        <f t="shared" si="71"/>
        <v>Absent</v>
      </c>
      <c r="K534" s="1" t="str">
        <f t="shared" si="72"/>
        <v>N/A</v>
      </c>
      <c r="L534" s="1" t="str">
        <f t="shared" si="73"/>
        <v>⚠ Mismatch</v>
      </c>
      <c r="M534" s="24" t="str">
        <f t="shared" si="74"/>
        <v>REVIEW</v>
      </c>
    </row>
    <row r="535" spans="1:13" ht="15" customHeight="1" x14ac:dyDescent="0.35">
      <c r="A535" s="1" t="s">
        <v>134</v>
      </c>
      <c r="B535" s="2" t="s">
        <v>135</v>
      </c>
      <c r="C535" s="1" t="s">
        <v>68</v>
      </c>
      <c r="D535" s="1" t="s">
        <v>52</v>
      </c>
      <c r="E535" s="24" t="s">
        <v>19</v>
      </c>
      <c r="F535" s="1" t="s">
        <v>128</v>
      </c>
      <c r="G535" s="1" t="s">
        <v>21</v>
      </c>
      <c r="H535" s="3">
        <f>IFERROR(MOD(TIMEVALUE(G535)-TIMEVALUE(F535),1)*24,0)</f>
        <v>10</v>
      </c>
      <c r="I535" s="24" t="str">
        <f t="shared" si="70"/>
        <v>Late</v>
      </c>
      <c r="J535" s="1" t="str">
        <f t="shared" si="71"/>
        <v>Full Day</v>
      </c>
      <c r="K535" s="1" t="str">
        <f t="shared" si="72"/>
        <v>Full Day</v>
      </c>
      <c r="L535" s="1" t="str">
        <f t="shared" si="73"/>
        <v>✓ Match</v>
      </c>
      <c r="M535" s="24" t="str">
        <f t="shared" si="74"/>
        <v>CLEAN</v>
      </c>
    </row>
    <row r="536" spans="1:13" ht="15" customHeight="1" x14ac:dyDescent="0.35">
      <c r="A536" s="1" t="s">
        <v>45</v>
      </c>
      <c r="B536" s="2" t="s">
        <v>46</v>
      </c>
      <c r="C536" s="1" t="s">
        <v>18</v>
      </c>
      <c r="D536" s="1" t="s">
        <v>52</v>
      </c>
      <c r="E536" s="24" t="s">
        <v>13</v>
      </c>
      <c r="F536" s="1" t="s">
        <v>14</v>
      </c>
      <c r="G536" s="1" t="s">
        <v>15</v>
      </c>
      <c r="H536" s="3">
        <v>0</v>
      </c>
      <c r="I536" s="24" t="str">
        <f t="shared" si="70"/>
        <v/>
      </c>
      <c r="J536" s="1" t="str">
        <f t="shared" si="71"/>
        <v>Absent</v>
      </c>
      <c r="K536" s="1" t="str">
        <f t="shared" si="72"/>
        <v>N/A</v>
      </c>
      <c r="L536" s="1" t="str">
        <f t="shared" si="73"/>
        <v>⚠ Mismatch</v>
      </c>
      <c r="M536" s="24" t="str">
        <f t="shared" si="74"/>
        <v>REVIEW</v>
      </c>
    </row>
    <row r="537" spans="1:13" ht="15" customHeight="1" x14ac:dyDescent="0.35">
      <c r="A537" s="1" t="s">
        <v>82</v>
      </c>
      <c r="B537" s="2" t="s">
        <v>83</v>
      </c>
      <c r="C537" s="1" t="s">
        <v>68</v>
      </c>
      <c r="D537" s="1" t="s">
        <v>52</v>
      </c>
      <c r="E537" s="24" t="s">
        <v>13</v>
      </c>
      <c r="F537" s="1" t="s">
        <v>14</v>
      </c>
      <c r="G537" s="1" t="s">
        <v>15</v>
      </c>
      <c r="H537" s="3">
        <v>0</v>
      </c>
      <c r="I537" s="24" t="str">
        <f t="shared" si="70"/>
        <v/>
      </c>
      <c r="J537" s="1" t="str">
        <f t="shared" si="71"/>
        <v>Absent</v>
      </c>
      <c r="K537" s="1" t="str">
        <f t="shared" si="72"/>
        <v>N/A</v>
      </c>
      <c r="L537" s="1" t="str">
        <f t="shared" si="73"/>
        <v>⚠ Mismatch</v>
      </c>
      <c r="M537" s="24" t="str">
        <f t="shared" si="74"/>
        <v>REVIEW</v>
      </c>
    </row>
    <row r="538" spans="1:13" ht="15" customHeight="1" x14ac:dyDescent="0.35">
      <c r="A538" s="1" t="s">
        <v>124</v>
      </c>
      <c r="B538" s="2" t="s">
        <v>125</v>
      </c>
      <c r="C538" s="1" t="s">
        <v>68</v>
      </c>
      <c r="D538" s="1" t="s">
        <v>52</v>
      </c>
      <c r="E538" s="24" t="s">
        <v>19</v>
      </c>
      <c r="F538" s="1" t="s">
        <v>84</v>
      </c>
      <c r="G538" s="1" t="s">
        <v>156</v>
      </c>
      <c r="H538" s="3">
        <f t="shared" ref="H538:H552" si="76">IFERROR(MOD(TIMEVALUE(G538)-TIMEVALUE(F538),1)*24,0)</f>
        <v>8.2499999999999982</v>
      </c>
      <c r="I538" s="24" t="str">
        <f t="shared" si="70"/>
        <v>Late</v>
      </c>
      <c r="J538" s="1" t="str">
        <f t="shared" si="71"/>
        <v>Full Day</v>
      </c>
      <c r="K538" s="1" t="str">
        <f t="shared" si="72"/>
        <v>Full Day</v>
      </c>
      <c r="L538" s="1" t="str">
        <f t="shared" si="73"/>
        <v>✓ Match</v>
      </c>
      <c r="M538" s="24" t="str">
        <f t="shared" si="74"/>
        <v>CLEAN</v>
      </c>
    </row>
    <row r="539" spans="1:13" ht="15" customHeight="1" x14ac:dyDescent="0.35">
      <c r="A539" s="1" t="s">
        <v>9</v>
      </c>
      <c r="B539" s="2" t="s">
        <v>10</v>
      </c>
      <c r="C539" s="1" t="s">
        <v>11</v>
      </c>
      <c r="D539" s="1" t="s">
        <v>52</v>
      </c>
      <c r="E539" s="24" t="s">
        <v>19</v>
      </c>
      <c r="F539" s="1" t="s">
        <v>38</v>
      </c>
      <c r="G539" s="1" t="s">
        <v>27</v>
      </c>
      <c r="H539" s="3">
        <f t="shared" si="76"/>
        <v>9.4166666666666661</v>
      </c>
      <c r="I539" s="24" t="str">
        <f t="shared" si="70"/>
        <v>Late</v>
      </c>
      <c r="J539" s="1" t="str">
        <f t="shared" si="71"/>
        <v>Full Day</v>
      </c>
      <c r="K539" s="1" t="str">
        <f t="shared" si="72"/>
        <v>Full Day</v>
      </c>
      <c r="L539" s="1" t="str">
        <f t="shared" si="73"/>
        <v>✓ Match</v>
      </c>
      <c r="M539" s="24" t="str">
        <f t="shared" si="74"/>
        <v>CLEAN</v>
      </c>
    </row>
    <row r="540" spans="1:13" ht="15" customHeight="1" x14ac:dyDescent="0.35">
      <c r="A540" s="1" t="s">
        <v>95</v>
      </c>
      <c r="B540" s="2" t="s">
        <v>96</v>
      </c>
      <c r="C540" s="1" t="s">
        <v>68</v>
      </c>
      <c r="D540" s="1" t="s">
        <v>52</v>
      </c>
      <c r="E540" s="24" t="s">
        <v>37</v>
      </c>
      <c r="F540" s="1" t="s">
        <v>26</v>
      </c>
      <c r="G540" s="1" t="s">
        <v>108</v>
      </c>
      <c r="H540" s="3">
        <f t="shared" si="76"/>
        <v>10.416666666666666</v>
      </c>
      <c r="I540" s="24" t="str">
        <f t="shared" si="70"/>
        <v>Late</v>
      </c>
      <c r="J540" s="1" t="str">
        <f t="shared" si="71"/>
        <v>Full Day</v>
      </c>
      <c r="K540" s="1" t="str">
        <f t="shared" si="72"/>
        <v>Full Day</v>
      </c>
      <c r="L540" s="1" t="str">
        <f t="shared" si="73"/>
        <v>✓ Match</v>
      </c>
      <c r="M540" s="24" t="str">
        <f t="shared" si="74"/>
        <v>CLEAN</v>
      </c>
    </row>
    <row r="541" spans="1:13" ht="15" customHeight="1" x14ac:dyDescent="0.35">
      <c r="A541" s="1" t="s">
        <v>72</v>
      </c>
      <c r="B541" s="2" t="s">
        <v>73</v>
      </c>
      <c r="C541" s="1" t="s">
        <v>68</v>
      </c>
      <c r="D541" s="1" t="s">
        <v>52</v>
      </c>
      <c r="E541" s="24" t="s">
        <v>19</v>
      </c>
      <c r="F541" s="1" t="s">
        <v>93</v>
      </c>
      <c r="G541" s="1" t="s">
        <v>123</v>
      </c>
      <c r="H541" s="3">
        <f t="shared" si="76"/>
        <v>9.8333333333333321</v>
      </c>
      <c r="I541" s="24" t="str">
        <f t="shared" si="70"/>
        <v>Late</v>
      </c>
      <c r="J541" s="1" t="str">
        <f t="shared" si="71"/>
        <v>Full Day</v>
      </c>
      <c r="K541" s="1" t="str">
        <f t="shared" si="72"/>
        <v>Full Day</v>
      </c>
      <c r="L541" s="1" t="str">
        <f t="shared" si="73"/>
        <v>✓ Match</v>
      </c>
      <c r="M541" s="24" t="str">
        <f t="shared" si="74"/>
        <v>CLEAN</v>
      </c>
    </row>
    <row r="542" spans="1:13" ht="15" customHeight="1" x14ac:dyDescent="0.35">
      <c r="A542" s="1" t="s">
        <v>76</v>
      </c>
      <c r="B542" s="2" t="s">
        <v>77</v>
      </c>
      <c r="C542" s="1" t="s">
        <v>68</v>
      </c>
      <c r="D542" s="1" t="s">
        <v>52</v>
      </c>
      <c r="E542" s="24" t="s">
        <v>19</v>
      </c>
      <c r="F542" s="1" t="s">
        <v>116</v>
      </c>
      <c r="G542" s="1" t="s">
        <v>97</v>
      </c>
      <c r="H542" s="3">
        <f t="shared" si="76"/>
        <v>9</v>
      </c>
      <c r="I542" s="24" t="str">
        <f t="shared" si="70"/>
        <v>Late</v>
      </c>
      <c r="J542" s="1" t="str">
        <f t="shared" si="71"/>
        <v>Full Day</v>
      </c>
      <c r="K542" s="1" t="str">
        <f t="shared" si="72"/>
        <v>Full Day</v>
      </c>
      <c r="L542" s="1" t="str">
        <f t="shared" si="73"/>
        <v>✓ Match</v>
      </c>
      <c r="M542" s="24" t="str">
        <f t="shared" si="74"/>
        <v>CLEAN</v>
      </c>
    </row>
    <row r="543" spans="1:13" ht="15" customHeight="1" x14ac:dyDescent="0.35">
      <c r="A543" s="1" t="s">
        <v>22</v>
      </c>
      <c r="B543" s="2" t="s">
        <v>23</v>
      </c>
      <c r="C543" s="1" t="s">
        <v>24</v>
      </c>
      <c r="D543" s="1" t="s">
        <v>25</v>
      </c>
      <c r="E543" s="24" t="s">
        <v>19</v>
      </c>
      <c r="F543" s="1" t="s">
        <v>26</v>
      </c>
      <c r="G543" s="1" t="s">
        <v>27</v>
      </c>
      <c r="H543" s="3">
        <f t="shared" si="76"/>
        <v>10.666666666666668</v>
      </c>
      <c r="I543" s="24" t="str">
        <f t="shared" si="70"/>
        <v>Late</v>
      </c>
      <c r="J543" s="1" t="str">
        <f t="shared" si="71"/>
        <v>Full Day</v>
      </c>
      <c r="K543" s="1" t="str">
        <f t="shared" si="72"/>
        <v>Full Day</v>
      </c>
      <c r="L543" s="1" t="str">
        <f t="shared" si="73"/>
        <v>✓ Match</v>
      </c>
      <c r="M543" s="24" t="str">
        <f t="shared" si="74"/>
        <v>CLEAN</v>
      </c>
    </row>
    <row r="544" spans="1:13" ht="15" customHeight="1" x14ac:dyDescent="0.35">
      <c r="A544" s="1" t="s">
        <v>82</v>
      </c>
      <c r="B544" s="2" t="s">
        <v>83</v>
      </c>
      <c r="C544" s="1" t="s">
        <v>68</v>
      </c>
      <c r="D544" s="1" t="s">
        <v>25</v>
      </c>
      <c r="E544" s="24" t="s">
        <v>19</v>
      </c>
      <c r="F544" s="1" t="s">
        <v>70</v>
      </c>
      <c r="G544" s="1" t="s">
        <v>60</v>
      </c>
      <c r="H544" s="3">
        <f t="shared" si="76"/>
        <v>8.2499999999999982</v>
      </c>
      <c r="I544" s="24" t="str">
        <f t="shared" si="70"/>
        <v>Late</v>
      </c>
      <c r="J544" s="1" t="str">
        <f t="shared" si="71"/>
        <v>Full Day</v>
      </c>
      <c r="K544" s="1" t="str">
        <f t="shared" si="72"/>
        <v>Full Day</v>
      </c>
      <c r="L544" s="1" t="str">
        <f t="shared" si="73"/>
        <v>✓ Match</v>
      </c>
      <c r="M544" s="24" t="str">
        <f t="shared" si="74"/>
        <v>CLEAN</v>
      </c>
    </row>
    <row r="545" spans="1:13" ht="15" customHeight="1" x14ac:dyDescent="0.35">
      <c r="A545" s="1" t="s">
        <v>95</v>
      </c>
      <c r="B545" s="2" t="s">
        <v>96</v>
      </c>
      <c r="C545" s="1" t="s">
        <v>68</v>
      </c>
      <c r="D545" s="1" t="s">
        <v>25</v>
      </c>
      <c r="E545" s="24" t="s">
        <v>37</v>
      </c>
      <c r="F545" s="1" t="s">
        <v>75</v>
      </c>
      <c r="G545" s="1" t="s">
        <v>97</v>
      </c>
      <c r="H545" s="3">
        <f t="shared" si="76"/>
        <v>12</v>
      </c>
      <c r="I545" s="24" t="str">
        <f t="shared" si="70"/>
        <v>On Time</v>
      </c>
      <c r="J545" s="1" t="str">
        <f t="shared" si="71"/>
        <v>Full Day</v>
      </c>
      <c r="K545" s="1" t="str">
        <f t="shared" si="72"/>
        <v>Full Day</v>
      </c>
      <c r="L545" s="1" t="str">
        <f t="shared" si="73"/>
        <v>✓ Match</v>
      </c>
      <c r="M545" s="24" t="str">
        <f t="shared" si="74"/>
        <v>CLEAN</v>
      </c>
    </row>
    <row r="546" spans="1:13" ht="15" customHeight="1" x14ac:dyDescent="0.35">
      <c r="A546" s="1" t="s">
        <v>142</v>
      </c>
      <c r="B546" s="2" t="s">
        <v>143</v>
      </c>
      <c r="C546" s="1" t="s">
        <v>18</v>
      </c>
      <c r="D546" s="1" t="s">
        <v>25</v>
      </c>
      <c r="E546" s="24" t="s">
        <v>37</v>
      </c>
      <c r="F546" s="1" t="s">
        <v>70</v>
      </c>
      <c r="G546" s="1" t="s">
        <v>71</v>
      </c>
      <c r="H546" s="3">
        <f t="shared" si="76"/>
        <v>8.9999999999999982</v>
      </c>
      <c r="I546" s="24" t="str">
        <f t="shared" si="70"/>
        <v>Late</v>
      </c>
      <c r="J546" s="1" t="str">
        <f t="shared" si="71"/>
        <v>Full Day</v>
      </c>
      <c r="K546" s="1" t="str">
        <f t="shared" si="72"/>
        <v>Full Day</v>
      </c>
      <c r="L546" s="1" t="str">
        <f t="shared" si="73"/>
        <v>✓ Match</v>
      </c>
      <c r="M546" s="24" t="str">
        <f t="shared" si="74"/>
        <v>CLEAN</v>
      </c>
    </row>
    <row r="547" spans="1:13" ht="15" customHeight="1" x14ac:dyDescent="0.35">
      <c r="A547" s="1" t="s">
        <v>72</v>
      </c>
      <c r="B547" s="2" t="s">
        <v>73</v>
      </c>
      <c r="C547" s="1" t="s">
        <v>68</v>
      </c>
      <c r="D547" s="1" t="s">
        <v>25</v>
      </c>
      <c r="E547" s="24" t="s">
        <v>19</v>
      </c>
      <c r="F547" s="1" t="s">
        <v>89</v>
      </c>
      <c r="G547" s="1" t="s">
        <v>127</v>
      </c>
      <c r="H547" s="3">
        <f t="shared" si="76"/>
        <v>8.3333333333333321</v>
      </c>
      <c r="I547" s="24" t="str">
        <f t="shared" si="70"/>
        <v>Late</v>
      </c>
      <c r="J547" s="1" t="str">
        <f t="shared" si="71"/>
        <v>Full Day</v>
      </c>
      <c r="K547" s="1" t="str">
        <f t="shared" si="72"/>
        <v>Full Day</v>
      </c>
      <c r="L547" s="1" t="str">
        <f t="shared" si="73"/>
        <v>✓ Match</v>
      </c>
      <c r="M547" s="24" t="str">
        <f t="shared" si="74"/>
        <v>CLEAN</v>
      </c>
    </row>
    <row r="548" spans="1:13" ht="15" customHeight="1" x14ac:dyDescent="0.35">
      <c r="A548" s="1" t="s">
        <v>110</v>
      </c>
      <c r="B548" s="2" t="s">
        <v>111</v>
      </c>
      <c r="C548" s="1" t="s">
        <v>68</v>
      </c>
      <c r="D548" s="1" t="s">
        <v>25</v>
      </c>
      <c r="E548" s="24" t="s">
        <v>19</v>
      </c>
      <c r="F548" s="1" t="s">
        <v>100</v>
      </c>
      <c r="G548" s="1" t="s">
        <v>155</v>
      </c>
      <c r="H548" s="3">
        <f t="shared" si="76"/>
        <v>9.1666666666666679</v>
      </c>
      <c r="I548" s="24" t="str">
        <f t="shared" si="70"/>
        <v>On Time</v>
      </c>
      <c r="J548" s="1" t="str">
        <f t="shared" si="71"/>
        <v>Full Day</v>
      </c>
      <c r="K548" s="1" t="str">
        <f t="shared" si="72"/>
        <v>Full Day</v>
      </c>
      <c r="L548" s="1" t="str">
        <f t="shared" si="73"/>
        <v>✓ Match</v>
      </c>
      <c r="M548" s="24" t="str">
        <f t="shared" si="74"/>
        <v>CLEAN</v>
      </c>
    </row>
    <row r="549" spans="1:13" ht="15" customHeight="1" x14ac:dyDescent="0.35">
      <c r="A549" s="1" t="s">
        <v>120</v>
      </c>
      <c r="B549" s="2" t="s">
        <v>121</v>
      </c>
      <c r="C549" s="1" t="s">
        <v>11</v>
      </c>
      <c r="D549" s="1" t="s">
        <v>25</v>
      </c>
      <c r="E549" s="24" t="s">
        <v>37</v>
      </c>
      <c r="F549" s="1" t="s">
        <v>75</v>
      </c>
      <c r="G549" s="1" t="s">
        <v>154</v>
      </c>
      <c r="H549" s="3">
        <f t="shared" si="76"/>
        <v>8.0833333333333321</v>
      </c>
      <c r="I549" s="24" t="str">
        <f t="shared" si="70"/>
        <v>On Time</v>
      </c>
      <c r="J549" s="1" t="str">
        <f t="shared" si="71"/>
        <v>Full Day</v>
      </c>
      <c r="K549" s="1" t="str">
        <f t="shared" si="72"/>
        <v>Full Day</v>
      </c>
      <c r="L549" s="1" t="str">
        <f t="shared" si="73"/>
        <v>✓ Match</v>
      </c>
      <c r="M549" s="24" t="str">
        <f t="shared" si="74"/>
        <v>CLEAN</v>
      </c>
    </row>
    <row r="550" spans="1:13" ht="15" customHeight="1" x14ac:dyDescent="0.35">
      <c r="A550" s="1" t="s">
        <v>112</v>
      </c>
      <c r="B550" s="2" t="s">
        <v>113</v>
      </c>
      <c r="C550" s="1" t="s">
        <v>30</v>
      </c>
      <c r="D550" s="1" t="s">
        <v>25</v>
      </c>
      <c r="E550" s="24" t="s">
        <v>19</v>
      </c>
      <c r="F550" s="1" t="s">
        <v>152</v>
      </c>
      <c r="G550" s="1" t="s">
        <v>123</v>
      </c>
      <c r="H550" s="3">
        <f t="shared" si="76"/>
        <v>9.6666666666666679</v>
      </c>
      <c r="I550" s="24" t="str">
        <f t="shared" si="70"/>
        <v>Late</v>
      </c>
      <c r="J550" s="1" t="str">
        <f t="shared" si="71"/>
        <v>Full Day</v>
      </c>
      <c r="K550" s="1" t="str">
        <f t="shared" si="72"/>
        <v>Full Day</v>
      </c>
      <c r="L550" s="1" t="str">
        <f t="shared" si="73"/>
        <v>✓ Match</v>
      </c>
      <c r="M550" s="24" t="str">
        <f t="shared" si="74"/>
        <v>CLEAN</v>
      </c>
    </row>
    <row r="551" spans="1:13" ht="15" customHeight="1" x14ac:dyDescent="0.35">
      <c r="A551" s="1" t="s">
        <v>91</v>
      </c>
      <c r="B551" s="2" t="s">
        <v>92</v>
      </c>
      <c r="C551" s="1" t="s">
        <v>18</v>
      </c>
      <c r="D551" s="1" t="s">
        <v>25</v>
      </c>
      <c r="E551" s="24" t="s">
        <v>19</v>
      </c>
      <c r="F551" s="1" t="s">
        <v>75</v>
      </c>
      <c r="G551" s="1" t="s">
        <v>108</v>
      </c>
      <c r="H551" s="3">
        <f t="shared" si="76"/>
        <v>12.25</v>
      </c>
      <c r="I551" s="24" t="str">
        <f t="shared" si="70"/>
        <v>On Time</v>
      </c>
      <c r="J551" s="1" t="str">
        <f t="shared" si="71"/>
        <v>Full Day</v>
      </c>
      <c r="K551" s="1" t="str">
        <f t="shared" si="72"/>
        <v>Full Day</v>
      </c>
      <c r="L551" s="1" t="str">
        <f t="shared" si="73"/>
        <v>✓ Match</v>
      </c>
      <c r="M551" s="24" t="str">
        <f t="shared" si="74"/>
        <v>CLEAN</v>
      </c>
    </row>
    <row r="552" spans="1:13" ht="15" customHeight="1" x14ac:dyDescent="0.35">
      <c r="A552" s="1" t="s">
        <v>79</v>
      </c>
      <c r="B552" s="2" t="s">
        <v>80</v>
      </c>
      <c r="C552" s="1" t="s">
        <v>18</v>
      </c>
      <c r="D552" s="1" t="s">
        <v>25</v>
      </c>
      <c r="E552" s="24" t="s">
        <v>19</v>
      </c>
      <c r="F552" s="1" t="s">
        <v>122</v>
      </c>
      <c r="G552" s="1" t="s">
        <v>78</v>
      </c>
      <c r="H552" s="3">
        <f t="shared" si="76"/>
        <v>8.4166666666666679</v>
      </c>
      <c r="I552" s="24" t="str">
        <f t="shared" si="70"/>
        <v>Late</v>
      </c>
      <c r="J552" s="1" t="str">
        <f t="shared" si="71"/>
        <v>Full Day</v>
      </c>
      <c r="K552" s="1" t="str">
        <f t="shared" si="72"/>
        <v>Full Day</v>
      </c>
      <c r="L552" s="1" t="str">
        <f t="shared" si="73"/>
        <v>✓ Match</v>
      </c>
      <c r="M552" s="24" t="str">
        <f t="shared" si="74"/>
        <v>CLEAN</v>
      </c>
    </row>
    <row r="553" spans="1:13" ht="15" customHeight="1" x14ac:dyDescent="0.35">
      <c r="A553" s="1" t="s">
        <v>40</v>
      </c>
      <c r="B553" s="2" t="s">
        <v>41</v>
      </c>
      <c r="C553" s="1" t="s">
        <v>24</v>
      </c>
      <c r="D553" s="1" t="s">
        <v>25</v>
      </c>
      <c r="E553" s="24" t="s">
        <v>13</v>
      </c>
      <c r="F553" s="1" t="s">
        <v>14</v>
      </c>
      <c r="G553" s="1" t="s">
        <v>15</v>
      </c>
      <c r="H553" s="3">
        <v>0</v>
      </c>
      <c r="I553" s="24" t="str">
        <f t="shared" si="70"/>
        <v/>
      </c>
      <c r="J553" s="1" t="str">
        <f t="shared" si="71"/>
        <v>Absent</v>
      </c>
      <c r="K553" s="1" t="str">
        <f t="shared" si="72"/>
        <v>N/A</v>
      </c>
      <c r="L553" s="1" t="str">
        <f t="shared" si="73"/>
        <v>⚠ Mismatch</v>
      </c>
      <c r="M553" s="24" t="str">
        <f t="shared" si="74"/>
        <v>REVIEW</v>
      </c>
    </row>
    <row r="554" spans="1:13" ht="15" customHeight="1" x14ac:dyDescent="0.35">
      <c r="A554" s="1" t="s">
        <v>105</v>
      </c>
      <c r="B554" s="2" t="s">
        <v>106</v>
      </c>
      <c r="C554" s="1" t="s">
        <v>11</v>
      </c>
      <c r="D554" s="1" t="s">
        <v>25</v>
      </c>
      <c r="E554" s="24" t="s">
        <v>37</v>
      </c>
      <c r="F554" s="1" t="s">
        <v>93</v>
      </c>
      <c r="G554" s="1" t="s">
        <v>60</v>
      </c>
      <c r="H554" s="3">
        <f t="shared" ref="H554:H561" si="77">IFERROR(MOD(TIMEVALUE(G554)-TIMEVALUE(F554),1)*24,0)</f>
        <v>8.6666666666666643</v>
      </c>
      <c r="I554" s="24" t="str">
        <f t="shared" si="70"/>
        <v>Late</v>
      </c>
      <c r="J554" s="1" t="str">
        <f t="shared" si="71"/>
        <v>Full Day</v>
      </c>
      <c r="K554" s="1" t="str">
        <f t="shared" si="72"/>
        <v>Full Day</v>
      </c>
      <c r="L554" s="1" t="str">
        <f t="shared" si="73"/>
        <v>✓ Match</v>
      </c>
      <c r="M554" s="24" t="str">
        <f t="shared" si="74"/>
        <v>CLEAN</v>
      </c>
    </row>
    <row r="555" spans="1:13" ht="15" customHeight="1" x14ac:dyDescent="0.35">
      <c r="A555" s="1" t="s">
        <v>9</v>
      </c>
      <c r="B555" s="2" t="s">
        <v>10</v>
      </c>
      <c r="C555" s="1" t="s">
        <v>11</v>
      </c>
      <c r="D555" s="1" t="s">
        <v>25</v>
      </c>
      <c r="E555" s="24" t="s">
        <v>19</v>
      </c>
      <c r="F555" s="1" t="s">
        <v>56</v>
      </c>
      <c r="G555" s="1" t="s">
        <v>27</v>
      </c>
      <c r="H555" s="3">
        <f t="shared" si="77"/>
        <v>10.500000000000002</v>
      </c>
      <c r="I555" s="24" t="str">
        <f t="shared" si="70"/>
        <v>Late</v>
      </c>
      <c r="J555" s="1" t="str">
        <f t="shared" si="71"/>
        <v>Full Day</v>
      </c>
      <c r="K555" s="1" t="str">
        <f t="shared" si="72"/>
        <v>Full Day</v>
      </c>
      <c r="L555" s="1" t="str">
        <f t="shared" si="73"/>
        <v>✓ Match</v>
      </c>
      <c r="M555" s="24" t="str">
        <f t="shared" si="74"/>
        <v>CLEAN</v>
      </c>
    </row>
    <row r="556" spans="1:13" ht="15" customHeight="1" x14ac:dyDescent="0.35">
      <c r="A556" s="1" t="s">
        <v>16</v>
      </c>
      <c r="B556" s="2" t="s">
        <v>17</v>
      </c>
      <c r="C556" s="1" t="s">
        <v>18</v>
      </c>
      <c r="D556" s="1" t="s">
        <v>25</v>
      </c>
      <c r="E556" s="24" t="s">
        <v>19</v>
      </c>
      <c r="F556" s="1" t="s">
        <v>137</v>
      </c>
      <c r="G556" s="1" t="s">
        <v>148</v>
      </c>
      <c r="H556" s="3">
        <f t="shared" si="77"/>
        <v>7.6666666666666643</v>
      </c>
      <c r="I556" s="24" t="str">
        <f t="shared" si="70"/>
        <v>Late</v>
      </c>
      <c r="J556" s="1" t="str">
        <f t="shared" si="71"/>
        <v>Half Day</v>
      </c>
      <c r="K556" s="1" t="str">
        <f t="shared" si="72"/>
        <v>Half Day</v>
      </c>
      <c r="L556" s="1" t="str">
        <f t="shared" si="73"/>
        <v>✓ Match</v>
      </c>
      <c r="M556" s="24" t="str">
        <f t="shared" si="74"/>
        <v>CLEAN</v>
      </c>
    </row>
    <row r="557" spans="1:13" ht="15" customHeight="1" x14ac:dyDescent="0.35">
      <c r="A557" s="1" t="s">
        <v>101</v>
      </c>
      <c r="B557" s="2" t="s">
        <v>102</v>
      </c>
      <c r="C557" s="1" t="s">
        <v>30</v>
      </c>
      <c r="D557" s="1" t="s">
        <v>25</v>
      </c>
      <c r="E557" s="24" t="s">
        <v>19</v>
      </c>
      <c r="F557" s="1" t="s">
        <v>64</v>
      </c>
      <c r="G557" s="1" t="s">
        <v>107</v>
      </c>
      <c r="H557" s="3">
        <f t="shared" si="77"/>
        <v>10.166666666666664</v>
      </c>
      <c r="I557" s="24" t="str">
        <f t="shared" si="70"/>
        <v>On Time</v>
      </c>
      <c r="J557" s="1" t="str">
        <f t="shared" si="71"/>
        <v>Full Day</v>
      </c>
      <c r="K557" s="1" t="str">
        <f t="shared" si="72"/>
        <v>Full Day</v>
      </c>
      <c r="L557" s="1" t="str">
        <f t="shared" si="73"/>
        <v>✓ Match</v>
      </c>
      <c r="M557" s="24" t="str">
        <f t="shared" si="74"/>
        <v>CLEAN</v>
      </c>
    </row>
    <row r="558" spans="1:13" ht="15" customHeight="1" x14ac:dyDescent="0.35">
      <c r="A558" s="1" t="s">
        <v>47</v>
      </c>
      <c r="B558" s="2" t="s">
        <v>48</v>
      </c>
      <c r="C558" s="1" t="s">
        <v>18</v>
      </c>
      <c r="D558" s="1" t="s">
        <v>25</v>
      </c>
      <c r="E558" s="24" t="s">
        <v>19</v>
      </c>
      <c r="F558" s="1" t="s">
        <v>122</v>
      </c>
      <c r="G558" s="1" t="s">
        <v>35</v>
      </c>
      <c r="H558" s="3">
        <f t="shared" si="77"/>
        <v>9.8333333333333339</v>
      </c>
      <c r="I558" s="24" t="str">
        <f t="shared" si="70"/>
        <v>Late</v>
      </c>
      <c r="J558" s="1" t="str">
        <f t="shared" si="71"/>
        <v>Full Day</v>
      </c>
      <c r="K558" s="1" t="str">
        <f t="shared" si="72"/>
        <v>Full Day</v>
      </c>
      <c r="L558" s="1" t="str">
        <f t="shared" si="73"/>
        <v>✓ Match</v>
      </c>
      <c r="M558" s="24" t="str">
        <f t="shared" si="74"/>
        <v>CLEAN</v>
      </c>
    </row>
    <row r="559" spans="1:13" ht="15" customHeight="1" x14ac:dyDescent="0.35">
      <c r="A559" s="1" t="s">
        <v>98</v>
      </c>
      <c r="B559" s="2" t="s">
        <v>99</v>
      </c>
      <c r="C559" s="1" t="s">
        <v>18</v>
      </c>
      <c r="D559" s="1" t="s">
        <v>25</v>
      </c>
      <c r="E559" s="24" t="s">
        <v>19</v>
      </c>
      <c r="F559" s="1" t="s">
        <v>43</v>
      </c>
      <c r="G559" s="1" t="s">
        <v>35</v>
      </c>
      <c r="H559" s="3">
        <f t="shared" si="77"/>
        <v>10.666666666666668</v>
      </c>
      <c r="I559" s="24" t="str">
        <f t="shared" si="70"/>
        <v>On Time</v>
      </c>
      <c r="J559" s="1" t="str">
        <f t="shared" si="71"/>
        <v>Full Day</v>
      </c>
      <c r="K559" s="1" t="str">
        <f t="shared" si="72"/>
        <v>Full Day</v>
      </c>
      <c r="L559" s="1" t="str">
        <f t="shared" si="73"/>
        <v>✓ Match</v>
      </c>
      <c r="M559" s="24" t="str">
        <f t="shared" si="74"/>
        <v>CLEAN</v>
      </c>
    </row>
    <row r="560" spans="1:13" ht="15" customHeight="1" x14ac:dyDescent="0.35">
      <c r="A560" s="1" t="s">
        <v>124</v>
      </c>
      <c r="B560" s="2" t="s">
        <v>125</v>
      </c>
      <c r="C560" s="1" t="s">
        <v>68</v>
      </c>
      <c r="D560" s="1" t="s">
        <v>25</v>
      </c>
      <c r="E560" s="24" t="s">
        <v>19</v>
      </c>
      <c r="F560" s="1" t="s">
        <v>104</v>
      </c>
      <c r="G560" s="1" t="s">
        <v>27</v>
      </c>
      <c r="H560" s="3">
        <f t="shared" si="77"/>
        <v>10.583333333333334</v>
      </c>
      <c r="I560" s="24" t="str">
        <f t="shared" si="70"/>
        <v>Late</v>
      </c>
      <c r="J560" s="1" t="str">
        <f t="shared" si="71"/>
        <v>Full Day</v>
      </c>
      <c r="K560" s="1" t="str">
        <f t="shared" si="72"/>
        <v>Full Day</v>
      </c>
      <c r="L560" s="1" t="str">
        <f t="shared" si="73"/>
        <v>✓ Match</v>
      </c>
      <c r="M560" s="24" t="str">
        <f t="shared" si="74"/>
        <v>CLEAN</v>
      </c>
    </row>
    <row r="561" spans="1:13" ht="15" customHeight="1" x14ac:dyDescent="0.35">
      <c r="A561" s="1" t="s">
        <v>150</v>
      </c>
      <c r="B561" s="2" t="s">
        <v>151</v>
      </c>
      <c r="C561" s="1" t="s">
        <v>68</v>
      </c>
      <c r="D561" s="1" t="s">
        <v>25</v>
      </c>
      <c r="E561" s="24" t="s">
        <v>37</v>
      </c>
      <c r="F561" s="1" t="s">
        <v>100</v>
      </c>
      <c r="G561" s="1" t="s">
        <v>127</v>
      </c>
      <c r="H561" s="3">
        <f t="shared" si="77"/>
        <v>10.333333333333332</v>
      </c>
      <c r="I561" s="24" t="str">
        <f t="shared" si="70"/>
        <v>On Time</v>
      </c>
      <c r="J561" s="1" t="str">
        <f t="shared" si="71"/>
        <v>Full Day</v>
      </c>
      <c r="K561" s="1" t="str">
        <f t="shared" si="72"/>
        <v>Full Day</v>
      </c>
      <c r="L561" s="1" t="str">
        <f t="shared" si="73"/>
        <v>✓ Match</v>
      </c>
      <c r="M561" s="24" t="str">
        <f t="shared" si="74"/>
        <v>CLEAN</v>
      </c>
    </row>
    <row r="562" spans="1:13" ht="15" customHeight="1" x14ac:dyDescent="0.35">
      <c r="A562" s="1" t="s">
        <v>130</v>
      </c>
      <c r="B562" s="2" t="s">
        <v>131</v>
      </c>
      <c r="C562" s="1" t="s">
        <v>11</v>
      </c>
      <c r="D562" s="1" t="s">
        <v>25</v>
      </c>
      <c r="E562" s="24" t="s">
        <v>13</v>
      </c>
      <c r="F562" s="1" t="s">
        <v>14</v>
      </c>
      <c r="G562" s="1" t="s">
        <v>15</v>
      </c>
      <c r="H562" s="3">
        <v>0</v>
      </c>
      <c r="I562" s="24" t="str">
        <f t="shared" si="70"/>
        <v/>
      </c>
      <c r="J562" s="1" t="str">
        <f t="shared" si="71"/>
        <v>Absent</v>
      </c>
      <c r="K562" s="1" t="str">
        <f t="shared" si="72"/>
        <v>N/A</v>
      </c>
      <c r="L562" s="1" t="str">
        <f t="shared" si="73"/>
        <v>⚠ Mismatch</v>
      </c>
      <c r="M562" s="24" t="str">
        <f t="shared" si="74"/>
        <v>REVIEW</v>
      </c>
    </row>
    <row r="563" spans="1:13" ht="15" customHeight="1" x14ac:dyDescent="0.35">
      <c r="A563" s="1" t="s">
        <v>57</v>
      </c>
      <c r="B563" s="2" t="s">
        <v>58</v>
      </c>
      <c r="C563" s="1" t="s">
        <v>30</v>
      </c>
      <c r="D563" s="1" t="s">
        <v>25</v>
      </c>
      <c r="E563" s="24" t="s">
        <v>19</v>
      </c>
      <c r="F563" s="1" t="s">
        <v>32</v>
      </c>
      <c r="G563" s="1" t="s">
        <v>153</v>
      </c>
      <c r="H563" s="3">
        <f>IFERROR(MOD(TIMEVALUE(G563)-TIMEVALUE(F563),1)*24,0)</f>
        <v>12.166666666666666</v>
      </c>
      <c r="I563" s="24" t="str">
        <f t="shared" si="70"/>
        <v>On Time</v>
      </c>
      <c r="J563" s="1" t="str">
        <f t="shared" si="71"/>
        <v>Full Day</v>
      </c>
      <c r="K563" s="1" t="str">
        <f t="shared" si="72"/>
        <v>Full Day</v>
      </c>
      <c r="L563" s="1" t="str">
        <f t="shared" si="73"/>
        <v>✓ Match</v>
      </c>
      <c r="M563" s="24" t="str">
        <f t="shared" si="74"/>
        <v>CLEAN</v>
      </c>
    </row>
    <row r="564" spans="1:13" ht="15" customHeight="1" x14ac:dyDescent="0.35">
      <c r="A564" s="1" t="s">
        <v>45</v>
      </c>
      <c r="B564" s="2" t="s">
        <v>46</v>
      </c>
      <c r="C564" s="1" t="s">
        <v>18</v>
      </c>
      <c r="D564" s="1" t="s">
        <v>25</v>
      </c>
      <c r="E564" s="24" t="s">
        <v>13</v>
      </c>
      <c r="F564" s="1" t="s">
        <v>14</v>
      </c>
      <c r="G564" s="1" t="s">
        <v>15</v>
      </c>
      <c r="H564" s="3">
        <v>0</v>
      </c>
      <c r="I564" s="24" t="str">
        <f t="shared" si="70"/>
        <v/>
      </c>
      <c r="J564" s="1" t="str">
        <f t="shared" si="71"/>
        <v>Absent</v>
      </c>
      <c r="K564" s="1" t="str">
        <f t="shared" si="72"/>
        <v>N/A</v>
      </c>
      <c r="L564" s="1" t="str">
        <f t="shared" si="73"/>
        <v>⚠ Mismatch</v>
      </c>
      <c r="M564" s="24" t="str">
        <f t="shared" si="74"/>
        <v>REVIEW</v>
      </c>
    </row>
    <row r="565" spans="1:13" ht="15" customHeight="1" x14ac:dyDescent="0.35">
      <c r="A565" s="1" t="s">
        <v>76</v>
      </c>
      <c r="B565" s="2" t="s">
        <v>77</v>
      </c>
      <c r="C565" s="1" t="s">
        <v>68</v>
      </c>
      <c r="D565" s="1" t="s">
        <v>25</v>
      </c>
      <c r="E565" s="24" t="s">
        <v>13</v>
      </c>
      <c r="F565" s="1" t="s">
        <v>14</v>
      </c>
      <c r="G565" s="1" t="s">
        <v>15</v>
      </c>
      <c r="H565" s="3">
        <v>0</v>
      </c>
      <c r="I565" s="24" t="str">
        <f t="shared" si="70"/>
        <v/>
      </c>
      <c r="J565" s="1" t="str">
        <f t="shared" si="71"/>
        <v>Absent</v>
      </c>
      <c r="K565" s="1" t="str">
        <f t="shared" si="72"/>
        <v>N/A</v>
      </c>
      <c r="L565" s="1" t="str">
        <f t="shared" si="73"/>
        <v>⚠ Mismatch</v>
      </c>
      <c r="M565" s="24" t="str">
        <f t="shared" si="74"/>
        <v>REVIEW</v>
      </c>
    </row>
    <row r="566" spans="1:13" ht="15" customHeight="1" x14ac:dyDescent="0.35">
      <c r="A566" s="1" t="s">
        <v>53</v>
      </c>
      <c r="B566" s="2" t="s">
        <v>54</v>
      </c>
      <c r="C566" s="1" t="s">
        <v>18</v>
      </c>
      <c r="D566" s="1" t="s">
        <v>25</v>
      </c>
      <c r="E566" s="24" t="s">
        <v>19</v>
      </c>
      <c r="F566" s="1" t="s">
        <v>89</v>
      </c>
      <c r="G566" s="1" t="s">
        <v>123</v>
      </c>
      <c r="H566" s="3">
        <f>IFERROR(MOD(TIMEVALUE(G566)-TIMEVALUE(F566),1)*24,0)</f>
        <v>10.166666666666666</v>
      </c>
      <c r="I566" s="24" t="str">
        <f t="shared" si="70"/>
        <v>Late</v>
      </c>
      <c r="J566" s="1" t="str">
        <f t="shared" si="71"/>
        <v>Full Day</v>
      </c>
      <c r="K566" s="1" t="str">
        <f t="shared" si="72"/>
        <v>Full Day</v>
      </c>
      <c r="L566" s="1" t="str">
        <f t="shared" si="73"/>
        <v>✓ Match</v>
      </c>
      <c r="M566" s="24" t="str">
        <f t="shared" si="74"/>
        <v>CLEAN</v>
      </c>
    </row>
    <row r="567" spans="1:13" ht="15" customHeight="1" x14ac:dyDescent="0.35">
      <c r="A567" s="1" t="s">
        <v>61</v>
      </c>
      <c r="B567" s="2" t="s">
        <v>62</v>
      </c>
      <c r="C567" s="1" t="s">
        <v>11</v>
      </c>
      <c r="D567" s="1" t="s">
        <v>25</v>
      </c>
      <c r="E567" s="24" t="s">
        <v>13</v>
      </c>
      <c r="F567" s="1" t="s">
        <v>14</v>
      </c>
      <c r="G567" s="1" t="s">
        <v>15</v>
      </c>
      <c r="H567" s="3">
        <v>0</v>
      </c>
      <c r="I567" s="24" t="str">
        <f t="shared" si="70"/>
        <v/>
      </c>
      <c r="J567" s="1" t="str">
        <f t="shared" si="71"/>
        <v>Absent</v>
      </c>
      <c r="K567" s="1" t="str">
        <f t="shared" si="72"/>
        <v>N/A</v>
      </c>
      <c r="L567" s="1" t="str">
        <f t="shared" si="73"/>
        <v>⚠ Mismatch</v>
      </c>
      <c r="M567" s="24" t="str">
        <f t="shared" si="74"/>
        <v>REVIEW</v>
      </c>
    </row>
    <row r="568" spans="1:13" ht="15" customHeight="1" x14ac:dyDescent="0.35">
      <c r="A568" s="1" t="s">
        <v>117</v>
      </c>
      <c r="B568" s="2" t="s">
        <v>118</v>
      </c>
      <c r="C568" s="1" t="s">
        <v>30</v>
      </c>
      <c r="D568" s="1" t="s">
        <v>25</v>
      </c>
      <c r="E568" s="24" t="s">
        <v>19</v>
      </c>
      <c r="F568" s="1" t="s">
        <v>129</v>
      </c>
      <c r="G568" s="1" t="s">
        <v>107</v>
      </c>
      <c r="H568" s="3">
        <f t="shared" ref="H568:H577" si="78">IFERROR(MOD(TIMEVALUE(G568)-TIMEVALUE(F568),1)*24,0)</f>
        <v>9.25</v>
      </c>
      <c r="I568" s="24" t="str">
        <f t="shared" si="70"/>
        <v>On Time</v>
      </c>
      <c r="J568" s="1" t="str">
        <f t="shared" si="71"/>
        <v>Full Day</v>
      </c>
      <c r="K568" s="1" t="str">
        <f t="shared" si="72"/>
        <v>Full Day</v>
      </c>
      <c r="L568" s="1" t="str">
        <f t="shared" si="73"/>
        <v>✓ Match</v>
      </c>
      <c r="M568" s="24" t="str">
        <f t="shared" si="74"/>
        <v>CLEAN</v>
      </c>
    </row>
    <row r="569" spans="1:13" ht="15" customHeight="1" x14ac:dyDescent="0.35">
      <c r="A569" s="1" t="s">
        <v>28</v>
      </c>
      <c r="B569" s="2" t="s">
        <v>29</v>
      </c>
      <c r="C569" s="1" t="s">
        <v>30</v>
      </c>
      <c r="D569" s="1" t="s">
        <v>25</v>
      </c>
      <c r="E569" s="24" t="s">
        <v>19</v>
      </c>
      <c r="F569" s="1" t="s">
        <v>167</v>
      </c>
      <c r="G569" s="1" t="s">
        <v>27</v>
      </c>
      <c r="H569" s="3">
        <f t="shared" si="78"/>
        <v>9.5833333333333357</v>
      </c>
      <c r="I569" s="24" t="str">
        <f t="shared" si="70"/>
        <v>Late</v>
      </c>
      <c r="J569" s="1" t="str">
        <f t="shared" si="71"/>
        <v>Full Day</v>
      </c>
      <c r="K569" s="1" t="str">
        <f t="shared" si="72"/>
        <v>Full Day</v>
      </c>
      <c r="L569" s="1" t="str">
        <f t="shared" si="73"/>
        <v>✓ Match</v>
      </c>
      <c r="M569" s="24" t="str">
        <f t="shared" si="74"/>
        <v>CLEAN</v>
      </c>
    </row>
    <row r="570" spans="1:13" ht="15" customHeight="1" x14ac:dyDescent="0.35">
      <c r="A570" s="1" t="s">
        <v>134</v>
      </c>
      <c r="B570" s="2" t="s">
        <v>135</v>
      </c>
      <c r="C570" s="1" t="s">
        <v>68</v>
      </c>
      <c r="D570" s="1" t="s">
        <v>25</v>
      </c>
      <c r="E570" s="24" t="s">
        <v>19</v>
      </c>
      <c r="F570" s="1" t="s">
        <v>89</v>
      </c>
      <c r="G570" s="1" t="s">
        <v>97</v>
      </c>
      <c r="H570" s="3">
        <f t="shared" si="78"/>
        <v>10.25</v>
      </c>
      <c r="I570" s="24" t="str">
        <f t="shared" si="70"/>
        <v>Late</v>
      </c>
      <c r="J570" s="1" t="str">
        <f t="shared" si="71"/>
        <v>Full Day</v>
      </c>
      <c r="K570" s="1" t="str">
        <f t="shared" si="72"/>
        <v>Full Day</v>
      </c>
      <c r="L570" s="1" t="str">
        <f t="shared" si="73"/>
        <v>✓ Match</v>
      </c>
      <c r="M570" s="24" t="str">
        <f t="shared" si="74"/>
        <v>CLEAN</v>
      </c>
    </row>
    <row r="571" spans="1:13" ht="15" customHeight="1" x14ac:dyDescent="0.35">
      <c r="A571" s="1" t="s">
        <v>158</v>
      </c>
      <c r="B571" s="2" t="s">
        <v>159</v>
      </c>
      <c r="C571" s="1" t="s">
        <v>11</v>
      </c>
      <c r="D571" s="1" t="s">
        <v>25</v>
      </c>
      <c r="E571" s="24" t="s">
        <v>37</v>
      </c>
      <c r="F571" s="1" t="s">
        <v>104</v>
      </c>
      <c r="G571" s="1" t="s">
        <v>109</v>
      </c>
      <c r="H571" s="3">
        <f t="shared" si="78"/>
        <v>7.0833333333333339</v>
      </c>
      <c r="I571" s="24" t="str">
        <f t="shared" si="70"/>
        <v>Late</v>
      </c>
      <c r="J571" s="1" t="str">
        <f t="shared" si="71"/>
        <v>Half Day</v>
      </c>
      <c r="K571" s="1" t="str">
        <f t="shared" si="72"/>
        <v>Half Day</v>
      </c>
      <c r="L571" s="1" t="str">
        <f t="shared" si="73"/>
        <v>✓ Match</v>
      </c>
      <c r="M571" s="24" t="str">
        <f t="shared" si="74"/>
        <v>CLEAN</v>
      </c>
    </row>
    <row r="572" spans="1:13" ht="15" customHeight="1" x14ac:dyDescent="0.35">
      <c r="A572" s="1" t="s">
        <v>66</v>
      </c>
      <c r="B572" s="2" t="s">
        <v>67</v>
      </c>
      <c r="C572" s="1" t="s">
        <v>68</v>
      </c>
      <c r="D572" s="1" t="s">
        <v>25</v>
      </c>
      <c r="E572" s="24" t="s">
        <v>37</v>
      </c>
      <c r="F572" s="1" t="s">
        <v>43</v>
      </c>
      <c r="G572" s="1" t="s">
        <v>60</v>
      </c>
      <c r="H572" s="3">
        <f t="shared" si="78"/>
        <v>10.499999999999998</v>
      </c>
      <c r="I572" s="24" t="str">
        <f t="shared" si="70"/>
        <v>On Time</v>
      </c>
      <c r="J572" s="1" t="str">
        <f t="shared" si="71"/>
        <v>Full Day</v>
      </c>
      <c r="K572" s="1" t="str">
        <f t="shared" si="72"/>
        <v>Full Day</v>
      </c>
      <c r="L572" s="1" t="str">
        <f t="shared" si="73"/>
        <v>✓ Match</v>
      </c>
      <c r="M572" s="24" t="str">
        <f t="shared" si="74"/>
        <v>CLEAN</v>
      </c>
    </row>
    <row r="573" spans="1:13" ht="15" customHeight="1" x14ac:dyDescent="0.35">
      <c r="A573" s="1" t="s">
        <v>105</v>
      </c>
      <c r="B573" s="2" t="s">
        <v>106</v>
      </c>
      <c r="C573" s="1" t="s">
        <v>11</v>
      </c>
      <c r="D573" s="1" t="s">
        <v>149</v>
      </c>
      <c r="E573" s="24" t="s">
        <v>19</v>
      </c>
      <c r="F573" s="1" t="s">
        <v>64</v>
      </c>
      <c r="G573" s="1" t="s">
        <v>141</v>
      </c>
      <c r="H573" s="3">
        <f t="shared" si="78"/>
        <v>11.249999999999996</v>
      </c>
      <c r="I573" s="24" t="str">
        <f t="shared" si="70"/>
        <v>On Time</v>
      </c>
      <c r="J573" s="1" t="str">
        <f t="shared" si="71"/>
        <v>Full Day</v>
      </c>
      <c r="K573" s="1" t="str">
        <f t="shared" si="72"/>
        <v>Full Day</v>
      </c>
      <c r="L573" s="1" t="str">
        <f t="shared" si="73"/>
        <v>✓ Match</v>
      </c>
      <c r="M573" s="24" t="str">
        <f t="shared" si="74"/>
        <v>CLEAN</v>
      </c>
    </row>
    <row r="574" spans="1:13" ht="15" customHeight="1" x14ac:dyDescent="0.35">
      <c r="A574" s="1" t="s">
        <v>22</v>
      </c>
      <c r="B574" s="2" t="s">
        <v>23</v>
      </c>
      <c r="C574" s="1" t="s">
        <v>24</v>
      </c>
      <c r="D574" s="1" t="s">
        <v>149</v>
      </c>
      <c r="E574" s="24" t="s">
        <v>19</v>
      </c>
      <c r="F574" s="1" t="s">
        <v>128</v>
      </c>
      <c r="G574" s="1" t="s">
        <v>123</v>
      </c>
      <c r="H574" s="3">
        <f t="shared" si="78"/>
        <v>10.666666666666668</v>
      </c>
      <c r="I574" s="24" t="str">
        <f t="shared" si="70"/>
        <v>Late</v>
      </c>
      <c r="J574" s="1" t="str">
        <f t="shared" si="71"/>
        <v>Full Day</v>
      </c>
      <c r="K574" s="1" t="str">
        <f t="shared" si="72"/>
        <v>Full Day</v>
      </c>
      <c r="L574" s="1" t="str">
        <f t="shared" si="73"/>
        <v>✓ Match</v>
      </c>
      <c r="M574" s="24" t="str">
        <f t="shared" si="74"/>
        <v>CLEAN</v>
      </c>
    </row>
    <row r="575" spans="1:13" ht="15" customHeight="1" x14ac:dyDescent="0.35">
      <c r="A575" s="1" t="s">
        <v>117</v>
      </c>
      <c r="B575" s="2" t="s">
        <v>118</v>
      </c>
      <c r="C575" s="1" t="s">
        <v>30</v>
      </c>
      <c r="D575" s="1" t="s">
        <v>149</v>
      </c>
      <c r="E575" s="24" t="s">
        <v>19</v>
      </c>
      <c r="F575" s="1" t="s">
        <v>129</v>
      </c>
      <c r="G575" s="1" t="s">
        <v>65</v>
      </c>
      <c r="H575" s="3">
        <f t="shared" si="78"/>
        <v>9</v>
      </c>
      <c r="I575" s="24" t="str">
        <f t="shared" si="70"/>
        <v>On Time</v>
      </c>
      <c r="J575" s="1" t="str">
        <f t="shared" si="71"/>
        <v>Full Day</v>
      </c>
      <c r="K575" s="1" t="str">
        <f t="shared" si="72"/>
        <v>Full Day</v>
      </c>
      <c r="L575" s="1" t="str">
        <f t="shared" si="73"/>
        <v>✓ Match</v>
      </c>
      <c r="M575" s="24" t="str">
        <f t="shared" si="74"/>
        <v>CLEAN</v>
      </c>
    </row>
    <row r="576" spans="1:13" ht="15" customHeight="1" x14ac:dyDescent="0.35">
      <c r="A576" s="1" t="s">
        <v>82</v>
      </c>
      <c r="B576" s="2" t="s">
        <v>83</v>
      </c>
      <c r="C576" s="1" t="s">
        <v>68</v>
      </c>
      <c r="D576" s="1" t="s">
        <v>149</v>
      </c>
      <c r="E576" s="24" t="s">
        <v>19</v>
      </c>
      <c r="F576" s="1" t="s">
        <v>140</v>
      </c>
      <c r="G576" s="1" t="s">
        <v>154</v>
      </c>
      <c r="H576" s="3">
        <f t="shared" si="78"/>
        <v>6.5833333333333313</v>
      </c>
      <c r="I576" s="24" t="str">
        <f t="shared" si="70"/>
        <v>Late</v>
      </c>
      <c r="J576" s="1" t="str">
        <f t="shared" si="71"/>
        <v>Half Day</v>
      </c>
      <c r="K576" s="1" t="str">
        <f t="shared" si="72"/>
        <v>Half Day</v>
      </c>
      <c r="L576" s="1" t="str">
        <f t="shared" si="73"/>
        <v>✓ Match</v>
      </c>
      <c r="M576" s="24" t="str">
        <f t="shared" si="74"/>
        <v>CLEAN</v>
      </c>
    </row>
    <row r="577" spans="1:13" ht="15" customHeight="1" x14ac:dyDescent="0.35">
      <c r="A577" s="1" t="s">
        <v>9</v>
      </c>
      <c r="B577" s="2" t="s">
        <v>10</v>
      </c>
      <c r="C577" s="1" t="s">
        <v>11</v>
      </c>
      <c r="D577" s="1" t="s">
        <v>149</v>
      </c>
      <c r="E577" s="24" t="s">
        <v>19</v>
      </c>
      <c r="F577" s="1" t="s">
        <v>93</v>
      </c>
      <c r="G577" s="1" t="s">
        <v>108</v>
      </c>
      <c r="H577" s="3">
        <f t="shared" si="78"/>
        <v>10.166666666666664</v>
      </c>
      <c r="I577" s="24" t="str">
        <f t="shared" si="70"/>
        <v>Late</v>
      </c>
      <c r="J577" s="1" t="str">
        <f t="shared" si="71"/>
        <v>Full Day</v>
      </c>
      <c r="K577" s="1" t="str">
        <f t="shared" si="72"/>
        <v>Full Day</v>
      </c>
      <c r="L577" s="1" t="str">
        <f t="shared" si="73"/>
        <v>✓ Match</v>
      </c>
      <c r="M577" s="24" t="str">
        <f t="shared" si="74"/>
        <v>CLEAN</v>
      </c>
    </row>
    <row r="578" spans="1:13" ht="15" customHeight="1" x14ac:dyDescent="0.35">
      <c r="A578" s="1" t="s">
        <v>79</v>
      </c>
      <c r="B578" s="2" t="s">
        <v>80</v>
      </c>
      <c r="C578" s="1" t="s">
        <v>18</v>
      </c>
      <c r="D578" s="1" t="s">
        <v>149</v>
      </c>
      <c r="E578" s="24" t="s">
        <v>13</v>
      </c>
      <c r="F578" s="1" t="s">
        <v>14</v>
      </c>
      <c r="G578" s="1" t="s">
        <v>15</v>
      </c>
      <c r="H578" s="3">
        <v>0</v>
      </c>
      <c r="I578" s="24" t="str">
        <f t="shared" si="70"/>
        <v/>
      </c>
      <c r="J578" s="1" t="str">
        <f t="shared" si="71"/>
        <v>Absent</v>
      </c>
      <c r="K578" s="1" t="str">
        <f t="shared" si="72"/>
        <v>N/A</v>
      </c>
      <c r="L578" s="1" t="str">
        <f t="shared" si="73"/>
        <v>⚠ Mismatch</v>
      </c>
      <c r="M578" s="24" t="str">
        <f t="shared" si="74"/>
        <v>REVIEW</v>
      </c>
    </row>
    <row r="579" spans="1:13" ht="15" customHeight="1" x14ac:dyDescent="0.35">
      <c r="A579" s="1" t="s">
        <v>28</v>
      </c>
      <c r="B579" s="2" t="s">
        <v>29</v>
      </c>
      <c r="C579" s="1" t="s">
        <v>30</v>
      </c>
      <c r="D579" s="1" t="s">
        <v>149</v>
      </c>
      <c r="E579" s="24" t="s">
        <v>13</v>
      </c>
      <c r="F579" s="1" t="s">
        <v>14</v>
      </c>
      <c r="G579" s="1" t="s">
        <v>15</v>
      </c>
      <c r="H579" s="3">
        <v>0</v>
      </c>
      <c r="I579" s="24" t="str">
        <f t="shared" ref="I579:I642" si="79">IF(F579="No Login","",IF(TIMEVALUE(F579)&gt;TIMEVALUE("09:00"),"Late","On Time"))</f>
        <v/>
      </c>
      <c r="J579" s="1" t="str">
        <f t="shared" ref="J579:J642" si="80">IF(E579="Absent","Absent",IF(H579&gt;=8,"Full Day",IF(H579&gt;=4,"Half Day","Short")))</f>
        <v>Absent</v>
      </c>
      <c r="K579" s="1" t="str">
        <f t="shared" ref="K579:K642" si="81">IF(E579="Absent","N/A",IF(H579&gt;=8,"Full Day",IF(H579&gt;=4,"Half Day","Short")))</f>
        <v>N/A</v>
      </c>
      <c r="L579" s="1" t="str">
        <f t="shared" ref="L579:L642" si="82">IF(J579=K579,"✓ Match","⚠ Mismatch")</f>
        <v>⚠ Mismatch</v>
      </c>
      <c r="M579" s="24" t="str">
        <f t="shared" ref="M579:M642" si="83">IF(AND(J579=K579,OR(E579="Present",E579="Work From Home",E579="Absent")),"CLEAN","REVIEW")</f>
        <v>REVIEW</v>
      </c>
    </row>
    <row r="580" spans="1:13" ht="15" customHeight="1" x14ac:dyDescent="0.35">
      <c r="A580" s="1" t="s">
        <v>66</v>
      </c>
      <c r="B580" s="2" t="s">
        <v>67</v>
      </c>
      <c r="C580" s="1" t="s">
        <v>68</v>
      </c>
      <c r="D580" s="1" t="s">
        <v>149</v>
      </c>
      <c r="E580" s="24" t="s">
        <v>19</v>
      </c>
      <c r="F580" s="1" t="s">
        <v>43</v>
      </c>
      <c r="G580" s="1" t="s">
        <v>119</v>
      </c>
      <c r="H580" s="3">
        <f>IFERROR(MOD(TIMEVALUE(G580)-TIMEVALUE(F580),1)*24,0)</f>
        <v>6.5</v>
      </c>
      <c r="I580" s="24" t="str">
        <f t="shared" si="79"/>
        <v>On Time</v>
      </c>
      <c r="J580" s="1" t="str">
        <f t="shared" si="80"/>
        <v>Half Day</v>
      </c>
      <c r="K580" s="1" t="str">
        <f t="shared" si="81"/>
        <v>Half Day</v>
      </c>
      <c r="L580" s="1" t="str">
        <f t="shared" si="82"/>
        <v>✓ Match</v>
      </c>
      <c r="M580" s="24" t="str">
        <f t="shared" si="83"/>
        <v>CLEAN</v>
      </c>
    </row>
    <row r="581" spans="1:13" ht="15" customHeight="1" x14ac:dyDescent="0.35">
      <c r="A581" s="1" t="s">
        <v>61</v>
      </c>
      <c r="B581" s="2" t="s">
        <v>62</v>
      </c>
      <c r="C581" s="1" t="s">
        <v>11</v>
      </c>
      <c r="D581" s="1" t="s">
        <v>149</v>
      </c>
      <c r="E581" s="24" t="s">
        <v>13</v>
      </c>
      <c r="F581" s="1" t="s">
        <v>14</v>
      </c>
      <c r="G581" s="1" t="s">
        <v>15</v>
      </c>
      <c r="H581" s="3">
        <v>0</v>
      </c>
      <c r="I581" s="24" t="str">
        <f t="shared" si="79"/>
        <v/>
      </c>
      <c r="J581" s="1" t="str">
        <f t="shared" si="80"/>
        <v>Absent</v>
      </c>
      <c r="K581" s="1" t="str">
        <f t="shared" si="81"/>
        <v>N/A</v>
      </c>
      <c r="L581" s="1" t="str">
        <f t="shared" si="82"/>
        <v>⚠ Mismatch</v>
      </c>
      <c r="M581" s="24" t="str">
        <f t="shared" si="83"/>
        <v>REVIEW</v>
      </c>
    </row>
    <row r="582" spans="1:13" ht="15" customHeight="1" x14ac:dyDescent="0.35">
      <c r="A582" s="1" t="s">
        <v>95</v>
      </c>
      <c r="B582" s="2" t="s">
        <v>96</v>
      </c>
      <c r="C582" s="1" t="s">
        <v>68</v>
      </c>
      <c r="D582" s="1" t="s">
        <v>149</v>
      </c>
      <c r="E582" s="24" t="s">
        <v>19</v>
      </c>
      <c r="F582" s="1" t="s">
        <v>116</v>
      </c>
      <c r="G582" s="1" t="s">
        <v>141</v>
      </c>
      <c r="H582" s="3">
        <f t="shared" ref="H582:H587" si="84">IFERROR(MOD(TIMEVALUE(G582)-TIMEVALUE(F582),1)*24,0)</f>
        <v>8.0833333333333321</v>
      </c>
      <c r="I582" s="24" t="str">
        <f t="shared" si="79"/>
        <v>Late</v>
      </c>
      <c r="J582" s="1" t="str">
        <f t="shared" si="80"/>
        <v>Full Day</v>
      </c>
      <c r="K582" s="1" t="str">
        <f t="shared" si="81"/>
        <v>Full Day</v>
      </c>
      <c r="L582" s="1" t="str">
        <f t="shared" si="82"/>
        <v>✓ Match</v>
      </c>
      <c r="M582" s="24" t="str">
        <f t="shared" si="83"/>
        <v>CLEAN</v>
      </c>
    </row>
    <row r="583" spans="1:13" ht="15" customHeight="1" x14ac:dyDescent="0.35">
      <c r="A583" s="1" t="s">
        <v>72</v>
      </c>
      <c r="B583" s="2" t="s">
        <v>73</v>
      </c>
      <c r="C583" s="1" t="s">
        <v>68</v>
      </c>
      <c r="D583" s="1" t="s">
        <v>149</v>
      </c>
      <c r="E583" s="24" t="s">
        <v>19</v>
      </c>
      <c r="F583" s="1" t="s">
        <v>137</v>
      </c>
      <c r="G583" s="1" t="s">
        <v>44</v>
      </c>
      <c r="H583" s="3">
        <f t="shared" si="84"/>
        <v>9.4166666666666661</v>
      </c>
      <c r="I583" s="24" t="str">
        <f t="shared" si="79"/>
        <v>Late</v>
      </c>
      <c r="J583" s="1" t="str">
        <f t="shared" si="80"/>
        <v>Full Day</v>
      </c>
      <c r="K583" s="1" t="str">
        <f t="shared" si="81"/>
        <v>Full Day</v>
      </c>
      <c r="L583" s="1" t="str">
        <f t="shared" si="82"/>
        <v>✓ Match</v>
      </c>
      <c r="M583" s="24" t="str">
        <f t="shared" si="83"/>
        <v>CLEAN</v>
      </c>
    </row>
    <row r="584" spans="1:13" ht="15" customHeight="1" x14ac:dyDescent="0.35">
      <c r="A584" s="1" t="s">
        <v>40</v>
      </c>
      <c r="B584" s="2" t="s">
        <v>41</v>
      </c>
      <c r="C584" s="1" t="s">
        <v>24</v>
      </c>
      <c r="D584" s="1" t="s">
        <v>149</v>
      </c>
      <c r="E584" s="24" t="s">
        <v>37</v>
      </c>
      <c r="F584" s="1" t="s">
        <v>75</v>
      </c>
      <c r="G584" s="1" t="s">
        <v>166</v>
      </c>
      <c r="H584" s="3">
        <f t="shared" si="84"/>
        <v>6.9999999999999991</v>
      </c>
      <c r="I584" s="24" t="str">
        <f t="shared" si="79"/>
        <v>On Time</v>
      </c>
      <c r="J584" s="1" t="str">
        <f t="shared" si="80"/>
        <v>Half Day</v>
      </c>
      <c r="K584" s="1" t="str">
        <f t="shared" si="81"/>
        <v>Half Day</v>
      </c>
      <c r="L584" s="1" t="str">
        <f t="shared" si="82"/>
        <v>✓ Match</v>
      </c>
      <c r="M584" s="24" t="str">
        <f t="shared" si="83"/>
        <v>CLEAN</v>
      </c>
    </row>
    <row r="585" spans="1:13" ht="15" customHeight="1" x14ac:dyDescent="0.35">
      <c r="A585" s="1" t="s">
        <v>120</v>
      </c>
      <c r="B585" s="2" t="s">
        <v>121</v>
      </c>
      <c r="C585" s="1" t="s">
        <v>11</v>
      </c>
      <c r="D585" s="1" t="s">
        <v>149</v>
      </c>
      <c r="E585" s="24" t="s">
        <v>37</v>
      </c>
      <c r="F585" s="1" t="s">
        <v>128</v>
      </c>
      <c r="G585" s="1" t="s">
        <v>153</v>
      </c>
      <c r="H585" s="3">
        <f t="shared" si="84"/>
        <v>10.833333333333334</v>
      </c>
      <c r="I585" s="24" t="str">
        <f t="shared" si="79"/>
        <v>Late</v>
      </c>
      <c r="J585" s="1" t="str">
        <f t="shared" si="80"/>
        <v>Full Day</v>
      </c>
      <c r="K585" s="1" t="str">
        <f t="shared" si="81"/>
        <v>Full Day</v>
      </c>
      <c r="L585" s="1" t="str">
        <f t="shared" si="82"/>
        <v>✓ Match</v>
      </c>
      <c r="M585" s="24" t="str">
        <f t="shared" si="83"/>
        <v>CLEAN</v>
      </c>
    </row>
    <row r="586" spans="1:13" ht="15" customHeight="1" x14ac:dyDescent="0.35">
      <c r="A586" s="1" t="s">
        <v>124</v>
      </c>
      <c r="B586" s="2" t="s">
        <v>125</v>
      </c>
      <c r="C586" s="1" t="s">
        <v>68</v>
      </c>
      <c r="D586" s="1" t="s">
        <v>149</v>
      </c>
      <c r="E586" s="24" t="s">
        <v>19</v>
      </c>
      <c r="F586" s="1" t="s">
        <v>122</v>
      </c>
      <c r="G586" s="1" t="s">
        <v>21</v>
      </c>
      <c r="H586" s="3">
        <f t="shared" si="84"/>
        <v>10.166666666666666</v>
      </c>
      <c r="I586" s="24" t="str">
        <f t="shared" si="79"/>
        <v>Late</v>
      </c>
      <c r="J586" s="1" t="str">
        <f t="shared" si="80"/>
        <v>Full Day</v>
      </c>
      <c r="K586" s="1" t="str">
        <f t="shared" si="81"/>
        <v>Full Day</v>
      </c>
      <c r="L586" s="1" t="str">
        <f t="shared" si="82"/>
        <v>✓ Match</v>
      </c>
      <c r="M586" s="24" t="str">
        <f t="shared" si="83"/>
        <v>CLEAN</v>
      </c>
    </row>
    <row r="587" spans="1:13" ht="15" customHeight="1" x14ac:dyDescent="0.35">
      <c r="A587" s="1" t="s">
        <v>110</v>
      </c>
      <c r="B587" s="2" t="s">
        <v>111</v>
      </c>
      <c r="C587" s="1" t="s">
        <v>68</v>
      </c>
      <c r="D587" s="1" t="s">
        <v>149</v>
      </c>
      <c r="E587" s="24" t="s">
        <v>19</v>
      </c>
      <c r="F587" s="1" t="s">
        <v>100</v>
      </c>
      <c r="G587" s="1" t="s">
        <v>60</v>
      </c>
      <c r="H587" s="3">
        <f t="shared" si="84"/>
        <v>11</v>
      </c>
      <c r="I587" s="24" t="str">
        <f t="shared" si="79"/>
        <v>On Time</v>
      </c>
      <c r="J587" s="1" t="str">
        <f t="shared" si="80"/>
        <v>Full Day</v>
      </c>
      <c r="K587" s="1" t="str">
        <f t="shared" si="81"/>
        <v>Full Day</v>
      </c>
      <c r="L587" s="1" t="str">
        <f t="shared" si="82"/>
        <v>✓ Match</v>
      </c>
      <c r="M587" s="24" t="str">
        <f t="shared" si="83"/>
        <v>CLEAN</v>
      </c>
    </row>
    <row r="588" spans="1:13" ht="15" customHeight="1" x14ac:dyDescent="0.35">
      <c r="A588" s="1" t="s">
        <v>98</v>
      </c>
      <c r="B588" s="2" t="s">
        <v>99</v>
      </c>
      <c r="C588" s="1" t="s">
        <v>18</v>
      </c>
      <c r="D588" s="1" t="s">
        <v>149</v>
      </c>
      <c r="E588" s="24" t="s">
        <v>13</v>
      </c>
      <c r="F588" s="1" t="s">
        <v>14</v>
      </c>
      <c r="G588" s="1" t="s">
        <v>15</v>
      </c>
      <c r="H588" s="3">
        <v>0</v>
      </c>
      <c r="I588" s="24" t="str">
        <f t="shared" si="79"/>
        <v/>
      </c>
      <c r="J588" s="1" t="str">
        <f t="shared" si="80"/>
        <v>Absent</v>
      </c>
      <c r="K588" s="1" t="str">
        <f t="shared" si="81"/>
        <v>N/A</v>
      </c>
      <c r="L588" s="1" t="str">
        <f t="shared" si="82"/>
        <v>⚠ Mismatch</v>
      </c>
      <c r="M588" s="24" t="str">
        <f t="shared" si="83"/>
        <v>REVIEW</v>
      </c>
    </row>
    <row r="589" spans="1:13" ht="15" customHeight="1" x14ac:dyDescent="0.35">
      <c r="A589" s="1" t="s">
        <v>57</v>
      </c>
      <c r="B589" s="2" t="s">
        <v>58</v>
      </c>
      <c r="C589" s="1" t="s">
        <v>30</v>
      </c>
      <c r="D589" s="1" t="s">
        <v>149</v>
      </c>
      <c r="E589" s="24" t="s">
        <v>13</v>
      </c>
      <c r="F589" s="1" t="s">
        <v>14</v>
      </c>
      <c r="G589" s="1" t="s">
        <v>15</v>
      </c>
      <c r="H589" s="3">
        <v>0</v>
      </c>
      <c r="I589" s="24" t="str">
        <f t="shared" si="79"/>
        <v/>
      </c>
      <c r="J589" s="1" t="str">
        <f t="shared" si="80"/>
        <v>Absent</v>
      </c>
      <c r="K589" s="1" t="str">
        <f t="shared" si="81"/>
        <v>N/A</v>
      </c>
      <c r="L589" s="1" t="str">
        <f t="shared" si="82"/>
        <v>⚠ Mismatch</v>
      </c>
      <c r="M589" s="24" t="str">
        <f t="shared" si="83"/>
        <v>REVIEW</v>
      </c>
    </row>
    <row r="590" spans="1:13" ht="15" customHeight="1" x14ac:dyDescent="0.35">
      <c r="A590" s="1" t="s">
        <v>158</v>
      </c>
      <c r="B590" s="2" t="s">
        <v>159</v>
      </c>
      <c r="C590" s="1" t="s">
        <v>11</v>
      </c>
      <c r="D590" s="1" t="s">
        <v>149</v>
      </c>
      <c r="E590" s="24" t="s">
        <v>19</v>
      </c>
      <c r="F590" s="1" t="s">
        <v>104</v>
      </c>
      <c r="G590" s="1" t="s">
        <v>21</v>
      </c>
      <c r="H590" s="3">
        <f t="shared" ref="H590:H595" si="85">IFERROR(MOD(TIMEVALUE(G590)-TIMEVALUE(F590),1)*24,0)</f>
        <v>9.3333333333333339</v>
      </c>
      <c r="I590" s="24" t="str">
        <f t="shared" si="79"/>
        <v>Late</v>
      </c>
      <c r="J590" s="1" t="str">
        <f t="shared" si="80"/>
        <v>Full Day</v>
      </c>
      <c r="K590" s="1" t="str">
        <f t="shared" si="81"/>
        <v>Full Day</v>
      </c>
      <c r="L590" s="1" t="str">
        <f t="shared" si="82"/>
        <v>✓ Match</v>
      </c>
      <c r="M590" s="24" t="str">
        <f t="shared" si="83"/>
        <v>CLEAN</v>
      </c>
    </row>
    <row r="591" spans="1:13" ht="15" customHeight="1" x14ac:dyDescent="0.35">
      <c r="A591" s="1" t="s">
        <v>134</v>
      </c>
      <c r="B591" s="2" t="s">
        <v>135</v>
      </c>
      <c r="C591" s="1" t="s">
        <v>68</v>
      </c>
      <c r="D591" s="1" t="s">
        <v>149</v>
      </c>
      <c r="E591" s="24" t="s">
        <v>19</v>
      </c>
      <c r="F591" s="1" t="s">
        <v>70</v>
      </c>
      <c r="G591" s="1" t="s">
        <v>27</v>
      </c>
      <c r="H591" s="3">
        <f t="shared" si="85"/>
        <v>10</v>
      </c>
      <c r="I591" s="24" t="str">
        <f t="shared" si="79"/>
        <v>Late</v>
      </c>
      <c r="J591" s="1" t="str">
        <f t="shared" si="80"/>
        <v>Full Day</v>
      </c>
      <c r="K591" s="1" t="str">
        <f t="shared" si="81"/>
        <v>Full Day</v>
      </c>
      <c r="L591" s="1" t="str">
        <f t="shared" si="82"/>
        <v>✓ Match</v>
      </c>
      <c r="M591" s="24" t="str">
        <f t="shared" si="83"/>
        <v>CLEAN</v>
      </c>
    </row>
    <row r="592" spans="1:13" ht="15" customHeight="1" x14ac:dyDescent="0.35">
      <c r="A592" s="1" t="s">
        <v>101</v>
      </c>
      <c r="B592" s="2" t="s">
        <v>102</v>
      </c>
      <c r="C592" s="1" t="s">
        <v>30</v>
      </c>
      <c r="D592" s="1" t="s">
        <v>149</v>
      </c>
      <c r="E592" s="24" t="s">
        <v>19</v>
      </c>
      <c r="F592" s="1" t="s">
        <v>26</v>
      </c>
      <c r="G592" s="1" t="s">
        <v>50</v>
      </c>
      <c r="H592" s="3">
        <f t="shared" si="85"/>
        <v>6.9166666666666679</v>
      </c>
      <c r="I592" s="24" t="str">
        <f t="shared" si="79"/>
        <v>Late</v>
      </c>
      <c r="J592" s="1" t="str">
        <f t="shared" si="80"/>
        <v>Half Day</v>
      </c>
      <c r="K592" s="1" t="str">
        <f t="shared" si="81"/>
        <v>Half Day</v>
      </c>
      <c r="L592" s="1" t="str">
        <f t="shared" si="82"/>
        <v>✓ Match</v>
      </c>
      <c r="M592" s="24" t="str">
        <f t="shared" si="83"/>
        <v>CLEAN</v>
      </c>
    </row>
    <row r="593" spans="1:13" ht="15" customHeight="1" x14ac:dyDescent="0.35">
      <c r="A593" s="1" t="s">
        <v>91</v>
      </c>
      <c r="B593" s="2" t="s">
        <v>92</v>
      </c>
      <c r="C593" s="1" t="s">
        <v>18</v>
      </c>
      <c r="D593" s="1" t="s">
        <v>149</v>
      </c>
      <c r="E593" s="24" t="s">
        <v>19</v>
      </c>
      <c r="F593" s="1" t="s">
        <v>89</v>
      </c>
      <c r="G593" s="1" t="s">
        <v>161</v>
      </c>
      <c r="H593" s="3">
        <f t="shared" si="85"/>
        <v>8.1666666666666679</v>
      </c>
      <c r="I593" s="24" t="str">
        <f t="shared" si="79"/>
        <v>Late</v>
      </c>
      <c r="J593" s="1" t="str">
        <f t="shared" si="80"/>
        <v>Full Day</v>
      </c>
      <c r="K593" s="1" t="str">
        <f t="shared" si="81"/>
        <v>Full Day</v>
      </c>
      <c r="L593" s="1" t="str">
        <f t="shared" si="82"/>
        <v>✓ Match</v>
      </c>
      <c r="M593" s="24" t="str">
        <f t="shared" si="83"/>
        <v>CLEAN</v>
      </c>
    </row>
    <row r="594" spans="1:13" ht="15" customHeight="1" x14ac:dyDescent="0.35">
      <c r="A594" s="1" t="s">
        <v>130</v>
      </c>
      <c r="B594" s="2" t="s">
        <v>131</v>
      </c>
      <c r="C594" s="1" t="s">
        <v>11</v>
      </c>
      <c r="D594" s="1" t="s">
        <v>149</v>
      </c>
      <c r="E594" s="24" t="s">
        <v>19</v>
      </c>
      <c r="F594" s="1" t="s">
        <v>64</v>
      </c>
      <c r="G594" s="1" t="s">
        <v>60</v>
      </c>
      <c r="H594" s="3">
        <f t="shared" si="85"/>
        <v>10.916666666666664</v>
      </c>
      <c r="I594" s="24" t="str">
        <f t="shared" si="79"/>
        <v>On Time</v>
      </c>
      <c r="J594" s="1" t="str">
        <f t="shared" si="80"/>
        <v>Full Day</v>
      </c>
      <c r="K594" s="1" t="str">
        <f t="shared" si="81"/>
        <v>Full Day</v>
      </c>
      <c r="L594" s="1" t="str">
        <f t="shared" si="82"/>
        <v>✓ Match</v>
      </c>
      <c r="M594" s="24" t="str">
        <f t="shared" si="83"/>
        <v>CLEAN</v>
      </c>
    </row>
    <row r="595" spans="1:13" ht="15" customHeight="1" x14ac:dyDescent="0.35">
      <c r="A595" s="1" t="s">
        <v>45</v>
      </c>
      <c r="B595" s="2" t="s">
        <v>46</v>
      </c>
      <c r="C595" s="1" t="s">
        <v>18</v>
      </c>
      <c r="D595" s="1" t="s">
        <v>149</v>
      </c>
      <c r="E595" s="24" t="s">
        <v>19</v>
      </c>
      <c r="F595" s="1" t="s">
        <v>26</v>
      </c>
      <c r="G595" s="1" t="s">
        <v>97</v>
      </c>
      <c r="H595" s="3">
        <f t="shared" si="85"/>
        <v>10.166666666666666</v>
      </c>
      <c r="I595" s="24" t="str">
        <f t="shared" si="79"/>
        <v>Late</v>
      </c>
      <c r="J595" s="1" t="str">
        <f t="shared" si="80"/>
        <v>Full Day</v>
      </c>
      <c r="K595" s="1" t="str">
        <f t="shared" si="81"/>
        <v>Full Day</v>
      </c>
      <c r="L595" s="1" t="str">
        <f t="shared" si="82"/>
        <v>✓ Match</v>
      </c>
      <c r="M595" s="24" t="str">
        <f t="shared" si="83"/>
        <v>CLEAN</v>
      </c>
    </row>
    <row r="596" spans="1:13" ht="15" customHeight="1" x14ac:dyDescent="0.35">
      <c r="A596" s="1" t="s">
        <v>16</v>
      </c>
      <c r="B596" s="2" t="s">
        <v>17</v>
      </c>
      <c r="C596" s="1" t="s">
        <v>18</v>
      </c>
      <c r="D596" s="1" t="s">
        <v>149</v>
      </c>
      <c r="E596" s="24" t="s">
        <v>13</v>
      </c>
      <c r="F596" s="1" t="s">
        <v>14</v>
      </c>
      <c r="G596" s="1" t="s">
        <v>15</v>
      </c>
      <c r="H596" s="3">
        <v>0</v>
      </c>
      <c r="I596" s="24" t="str">
        <f t="shared" si="79"/>
        <v/>
      </c>
      <c r="J596" s="1" t="str">
        <f t="shared" si="80"/>
        <v>Absent</v>
      </c>
      <c r="K596" s="1" t="str">
        <f t="shared" si="81"/>
        <v>N/A</v>
      </c>
      <c r="L596" s="1" t="str">
        <f t="shared" si="82"/>
        <v>⚠ Mismatch</v>
      </c>
      <c r="M596" s="24" t="str">
        <f t="shared" si="83"/>
        <v>REVIEW</v>
      </c>
    </row>
    <row r="597" spans="1:13" ht="15" customHeight="1" x14ac:dyDescent="0.35">
      <c r="A597" s="1" t="s">
        <v>142</v>
      </c>
      <c r="B597" s="2" t="s">
        <v>143</v>
      </c>
      <c r="C597" s="1" t="s">
        <v>18</v>
      </c>
      <c r="D597" s="1" t="s">
        <v>149</v>
      </c>
      <c r="E597" s="24" t="s">
        <v>19</v>
      </c>
      <c r="F597" s="1" t="s">
        <v>84</v>
      </c>
      <c r="G597" s="1" t="s">
        <v>27</v>
      </c>
      <c r="H597" s="3">
        <f>IFERROR(MOD(TIMEVALUE(G597)-TIMEVALUE(F597),1)*24,0)</f>
        <v>11.5</v>
      </c>
      <c r="I597" s="24" t="str">
        <f t="shared" si="79"/>
        <v>Late</v>
      </c>
      <c r="J597" s="1" t="str">
        <f t="shared" si="80"/>
        <v>Full Day</v>
      </c>
      <c r="K597" s="1" t="str">
        <f t="shared" si="81"/>
        <v>Full Day</v>
      </c>
      <c r="L597" s="1" t="str">
        <f t="shared" si="82"/>
        <v>✓ Match</v>
      </c>
      <c r="M597" s="24" t="str">
        <f t="shared" si="83"/>
        <v>CLEAN</v>
      </c>
    </row>
    <row r="598" spans="1:13" ht="15" customHeight="1" x14ac:dyDescent="0.35">
      <c r="A598" s="1" t="s">
        <v>53</v>
      </c>
      <c r="B598" s="2" t="s">
        <v>54</v>
      </c>
      <c r="C598" s="1" t="s">
        <v>18</v>
      </c>
      <c r="D598" s="1" t="s">
        <v>149</v>
      </c>
      <c r="E598" s="24" t="s">
        <v>13</v>
      </c>
      <c r="F598" s="1" t="s">
        <v>14</v>
      </c>
      <c r="G598" s="1" t="s">
        <v>15</v>
      </c>
      <c r="H598" s="3">
        <v>0</v>
      </c>
      <c r="I598" s="24" t="str">
        <f t="shared" si="79"/>
        <v/>
      </c>
      <c r="J598" s="1" t="str">
        <f t="shared" si="80"/>
        <v>Absent</v>
      </c>
      <c r="K598" s="1" t="str">
        <f t="shared" si="81"/>
        <v>N/A</v>
      </c>
      <c r="L598" s="1" t="str">
        <f t="shared" si="82"/>
        <v>⚠ Mismatch</v>
      </c>
      <c r="M598" s="24" t="str">
        <f t="shared" si="83"/>
        <v>REVIEW</v>
      </c>
    </row>
    <row r="599" spans="1:13" ht="15" customHeight="1" x14ac:dyDescent="0.35">
      <c r="A599" s="1" t="s">
        <v>47</v>
      </c>
      <c r="B599" s="2" t="s">
        <v>48</v>
      </c>
      <c r="C599" s="1" t="s">
        <v>18</v>
      </c>
      <c r="D599" s="1" t="s">
        <v>149</v>
      </c>
      <c r="E599" s="24" t="s">
        <v>19</v>
      </c>
      <c r="F599" s="1" t="s">
        <v>152</v>
      </c>
      <c r="G599" s="1" t="s">
        <v>147</v>
      </c>
      <c r="H599" s="3">
        <f>IFERROR(MOD(TIMEVALUE(G599)-TIMEVALUE(F599),1)*24,0)</f>
        <v>6.833333333333333</v>
      </c>
      <c r="I599" s="24" t="str">
        <f t="shared" si="79"/>
        <v>Late</v>
      </c>
      <c r="J599" s="1" t="str">
        <f t="shared" si="80"/>
        <v>Half Day</v>
      </c>
      <c r="K599" s="1" t="str">
        <f t="shared" si="81"/>
        <v>Half Day</v>
      </c>
      <c r="L599" s="1" t="str">
        <f t="shared" si="82"/>
        <v>✓ Match</v>
      </c>
      <c r="M599" s="24" t="str">
        <f t="shared" si="83"/>
        <v>CLEAN</v>
      </c>
    </row>
    <row r="600" spans="1:13" ht="15" customHeight="1" x14ac:dyDescent="0.35">
      <c r="A600" s="1" t="s">
        <v>112</v>
      </c>
      <c r="B600" s="2" t="s">
        <v>113</v>
      </c>
      <c r="C600" s="1" t="s">
        <v>30</v>
      </c>
      <c r="D600" s="1" t="s">
        <v>149</v>
      </c>
      <c r="E600" s="24" t="s">
        <v>19</v>
      </c>
      <c r="F600" s="1" t="s">
        <v>129</v>
      </c>
      <c r="G600" s="1" t="s">
        <v>108</v>
      </c>
      <c r="H600" s="3">
        <f>IFERROR(MOD(TIMEVALUE(G600)-TIMEVALUE(F600),1)*24,0)</f>
        <v>11.5</v>
      </c>
      <c r="I600" s="24" t="str">
        <f t="shared" si="79"/>
        <v>On Time</v>
      </c>
      <c r="J600" s="1" t="str">
        <f t="shared" si="80"/>
        <v>Full Day</v>
      </c>
      <c r="K600" s="1" t="str">
        <f t="shared" si="81"/>
        <v>Full Day</v>
      </c>
      <c r="L600" s="1" t="str">
        <f t="shared" si="82"/>
        <v>✓ Match</v>
      </c>
      <c r="M600" s="24" t="str">
        <f t="shared" si="83"/>
        <v>CLEAN</v>
      </c>
    </row>
    <row r="601" spans="1:13" ht="15" customHeight="1" x14ac:dyDescent="0.35">
      <c r="A601" s="1" t="s">
        <v>76</v>
      </c>
      <c r="B601" s="2" t="s">
        <v>77</v>
      </c>
      <c r="C601" s="1" t="s">
        <v>68</v>
      </c>
      <c r="D601" s="1" t="s">
        <v>149</v>
      </c>
      <c r="E601" s="24" t="s">
        <v>19</v>
      </c>
      <c r="F601" s="1" t="s">
        <v>84</v>
      </c>
      <c r="G601" s="1" t="s">
        <v>141</v>
      </c>
      <c r="H601" s="3">
        <f>IFERROR(MOD(TIMEVALUE(G601)-TIMEVALUE(F601),1)*24,0)</f>
        <v>10.08333333333333</v>
      </c>
      <c r="I601" s="24" t="str">
        <f t="shared" si="79"/>
        <v>Late</v>
      </c>
      <c r="J601" s="1" t="str">
        <f t="shared" si="80"/>
        <v>Full Day</v>
      </c>
      <c r="K601" s="1" t="str">
        <f t="shared" si="81"/>
        <v>Full Day</v>
      </c>
      <c r="L601" s="1" t="str">
        <f t="shared" si="82"/>
        <v>✓ Match</v>
      </c>
      <c r="M601" s="24" t="str">
        <f t="shared" si="83"/>
        <v>CLEAN</v>
      </c>
    </row>
    <row r="602" spans="1:13" ht="15" customHeight="1" x14ac:dyDescent="0.35">
      <c r="A602" s="1" t="s">
        <v>150</v>
      </c>
      <c r="B602" s="2" t="s">
        <v>151</v>
      </c>
      <c r="C602" s="1" t="s">
        <v>68</v>
      </c>
      <c r="D602" s="1" t="s">
        <v>149</v>
      </c>
      <c r="E602" s="24" t="s">
        <v>19</v>
      </c>
      <c r="F602" s="1" t="s">
        <v>128</v>
      </c>
      <c r="G602" s="1" t="s">
        <v>153</v>
      </c>
      <c r="H602" s="3">
        <f>IFERROR(MOD(TIMEVALUE(G602)-TIMEVALUE(F602),1)*24,0)</f>
        <v>10.833333333333334</v>
      </c>
      <c r="I602" s="24" t="str">
        <f t="shared" si="79"/>
        <v>Late</v>
      </c>
      <c r="J602" s="1" t="str">
        <f t="shared" si="80"/>
        <v>Full Day</v>
      </c>
      <c r="K602" s="1" t="str">
        <f t="shared" si="81"/>
        <v>Full Day</v>
      </c>
      <c r="L602" s="1" t="str">
        <f t="shared" si="82"/>
        <v>✓ Match</v>
      </c>
      <c r="M602" s="24" t="str">
        <f t="shared" si="83"/>
        <v>CLEAN</v>
      </c>
    </row>
    <row r="603" spans="1:13" ht="15" customHeight="1" x14ac:dyDescent="0.35">
      <c r="A603" s="1" t="s">
        <v>79</v>
      </c>
      <c r="B603" s="2" t="s">
        <v>80</v>
      </c>
      <c r="C603" s="1" t="s">
        <v>18</v>
      </c>
      <c r="D603" s="1" t="s">
        <v>81</v>
      </c>
      <c r="E603" s="24" t="s">
        <v>19</v>
      </c>
      <c r="F603" s="1" t="s">
        <v>43</v>
      </c>
      <c r="G603" s="1" t="s">
        <v>35</v>
      </c>
      <c r="H603" s="3">
        <f>IFERROR(MOD(TIMEVALUE(G603)-TIMEVALUE(F603),1)*24,0)</f>
        <v>10.666666666666668</v>
      </c>
      <c r="I603" s="24" t="str">
        <f t="shared" si="79"/>
        <v>On Time</v>
      </c>
      <c r="J603" s="1" t="str">
        <f t="shared" si="80"/>
        <v>Full Day</v>
      </c>
      <c r="K603" s="1" t="str">
        <f t="shared" si="81"/>
        <v>Full Day</v>
      </c>
      <c r="L603" s="1" t="str">
        <f t="shared" si="82"/>
        <v>✓ Match</v>
      </c>
      <c r="M603" s="24" t="str">
        <f t="shared" si="83"/>
        <v>CLEAN</v>
      </c>
    </row>
    <row r="604" spans="1:13" ht="15" customHeight="1" x14ac:dyDescent="0.35">
      <c r="A604" s="1" t="s">
        <v>91</v>
      </c>
      <c r="B604" s="2" t="s">
        <v>92</v>
      </c>
      <c r="C604" s="1" t="s">
        <v>18</v>
      </c>
      <c r="D604" s="1" t="s">
        <v>81</v>
      </c>
      <c r="E604" s="24" t="s">
        <v>13</v>
      </c>
      <c r="F604" s="1" t="s">
        <v>14</v>
      </c>
      <c r="G604" s="1" t="s">
        <v>15</v>
      </c>
      <c r="H604" s="3">
        <v>0</v>
      </c>
      <c r="I604" s="24" t="str">
        <f t="shared" si="79"/>
        <v/>
      </c>
      <c r="J604" s="1" t="str">
        <f t="shared" si="80"/>
        <v>Absent</v>
      </c>
      <c r="K604" s="1" t="str">
        <f t="shared" si="81"/>
        <v>N/A</v>
      </c>
      <c r="L604" s="1" t="str">
        <f t="shared" si="82"/>
        <v>⚠ Mismatch</v>
      </c>
      <c r="M604" s="24" t="str">
        <f t="shared" si="83"/>
        <v>REVIEW</v>
      </c>
    </row>
    <row r="605" spans="1:13" ht="15" customHeight="1" x14ac:dyDescent="0.35">
      <c r="A605" s="1" t="s">
        <v>134</v>
      </c>
      <c r="B605" s="2" t="s">
        <v>135</v>
      </c>
      <c r="C605" s="1" t="s">
        <v>68</v>
      </c>
      <c r="D605" s="1" t="s">
        <v>81</v>
      </c>
      <c r="E605" s="24" t="s">
        <v>19</v>
      </c>
      <c r="F605" s="1" t="s">
        <v>137</v>
      </c>
      <c r="G605" s="1" t="s">
        <v>35</v>
      </c>
      <c r="H605" s="3">
        <f>IFERROR(MOD(TIMEVALUE(G605)-TIMEVALUE(F605),1)*24,0)</f>
        <v>10.083333333333334</v>
      </c>
      <c r="I605" s="24" t="str">
        <f t="shared" si="79"/>
        <v>Late</v>
      </c>
      <c r="J605" s="1" t="str">
        <f t="shared" si="80"/>
        <v>Full Day</v>
      </c>
      <c r="K605" s="1" t="str">
        <f t="shared" si="81"/>
        <v>Full Day</v>
      </c>
      <c r="L605" s="1" t="str">
        <f t="shared" si="82"/>
        <v>✓ Match</v>
      </c>
      <c r="M605" s="24" t="str">
        <f t="shared" si="83"/>
        <v>CLEAN</v>
      </c>
    </row>
    <row r="606" spans="1:13" ht="15" customHeight="1" x14ac:dyDescent="0.35">
      <c r="A606" s="1" t="s">
        <v>45</v>
      </c>
      <c r="B606" s="2" t="s">
        <v>46</v>
      </c>
      <c r="C606" s="1" t="s">
        <v>18</v>
      </c>
      <c r="D606" s="1" t="s">
        <v>81</v>
      </c>
      <c r="E606" s="24" t="s">
        <v>19</v>
      </c>
      <c r="F606" s="1" t="s">
        <v>32</v>
      </c>
      <c r="G606" s="1" t="s">
        <v>147</v>
      </c>
      <c r="H606" s="3">
        <f>IFERROR(MOD(TIMEVALUE(G606)-TIMEVALUE(F606),1)*24,0)</f>
        <v>9.1666666666666679</v>
      </c>
      <c r="I606" s="24" t="str">
        <f t="shared" si="79"/>
        <v>On Time</v>
      </c>
      <c r="J606" s="1" t="str">
        <f t="shared" si="80"/>
        <v>Full Day</v>
      </c>
      <c r="K606" s="1" t="str">
        <f t="shared" si="81"/>
        <v>Full Day</v>
      </c>
      <c r="L606" s="1" t="str">
        <f t="shared" si="82"/>
        <v>✓ Match</v>
      </c>
      <c r="M606" s="24" t="str">
        <f t="shared" si="83"/>
        <v>CLEAN</v>
      </c>
    </row>
    <row r="607" spans="1:13" ht="15" customHeight="1" x14ac:dyDescent="0.35">
      <c r="A607" s="1" t="s">
        <v>28</v>
      </c>
      <c r="B607" s="2" t="s">
        <v>29</v>
      </c>
      <c r="C607" s="1" t="s">
        <v>30</v>
      </c>
      <c r="D607" s="1" t="s">
        <v>81</v>
      </c>
      <c r="E607" s="24" t="s">
        <v>13</v>
      </c>
      <c r="F607" s="1" t="s">
        <v>14</v>
      </c>
      <c r="G607" s="1" t="s">
        <v>15</v>
      </c>
      <c r="H607" s="3">
        <v>0</v>
      </c>
      <c r="I607" s="24" t="str">
        <f t="shared" si="79"/>
        <v/>
      </c>
      <c r="J607" s="1" t="str">
        <f t="shared" si="80"/>
        <v>Absent</v>
      </c>
      <c r="K607" s="1" t="str">
        <f t="shared" si="81"/>
        <v>N/A</v>
      </c>
      <c r="L607" s="1" t="str">
        <f t="shared" si="82"/>
        <v>⚠ Mismatch</v>
      </c>
      <c r="M607" s="24" t="str">
        <f t="shared" si="83"/>
        <v>REVIEW</v>
      </c>
    </row>
    <row r="608" spans="1:13" ht="15" customHeight="1" x14ac:dyDescent="0.35">
      <c r="A608" s="1" t="s">
        <v>72</v>
      </c>
      <c r="B608" s="2" t="s">
        <v>73</v>
      </c>
      <c r="C608" s="1" t="s">
        <v>68</v>
      </c>
      <c r="D608" s="1" t="s">
        <v>81</v>
      </c>
      <c r="E608" s="24" t="s">
        <v>19</v>
      </c>
      <c r="F608" s="1" t="s">
        <v>137</v>
      </c>
      <c r="G608" s="1" t="s">
        <v>109</v>
      </c>
      <c r="H608" s="3">
        <f>IFERROR(MOD(TIMEVALUE(G608)-TIMEVALUE(F608),1)*24,0)</f>
        <v>8.1666666666666661</v>
      </c>
      <c r="I608" s="24" t="str">
        <f t="shared" si="79"/>
        <v>Late</v>
      </c>
      <c r="J608" s="1" t="str">
        <f t="shared" si="80"/>
        <v>Full Day</v>
      </c>
      <c r="K608" s="1" t="str">
        <f t="shared" si="81"/>
        <v>Full Day</v>
      </c>
      <c r="L608" s="1" t="str">
        <f t="shared" si="82"/>
        <v>✓ Match</v>
      </c>
      <c r="M608" s="24" t="str">
        <f t="shared" si="83"/>
        <v>CLEAN</v>
      </c>
    </row>
    <row r="609" spans="1:13" ht="15" customHeight="1" x14ac:dyDescent="0.35">
      <c r="A609" s="1" t="s">
        <v>76</v>
      </c>
      <c r="B609" s="2" t="s">
        <v>77</v>
      </c>
      <c r="C609" s="1" t="s">
        <v>68</v>
      </c>
      <c r="D609" s="1" t="s">
        <v>81</v>
      </c>
      <c r="E609" s="24" t="s">
        <v>13</v>
      </c>
      <c r="F609" s="1" t="s">
        <v>14</v>
      </c>
      <c r="G609" s="1" t="s">
        <v>15</v>
      </c>
      <c r="H609" s="3">
        <v>0</v>
      </c>
      <c r="I609" s="24" t="str">
        <f t="shared" si="79"/>
        <v/>
      </c>
      <c r="J609" s="1" t="str">
        <f t="shared" si="80"/>
        <v>Absent</v>
      </c>
      <c r="K609" s="1" t="str">
        <f t="shared" si="81"/>
        <v>N/A</v>
      </c>
      <c r="L609" s="1" t="str">
        <f t="shared" si="82"/>
        <v>⚠ Mismatch</v>
      </c>
      <c r="M609" s="24" t="str">
        <f t="shared" si="83"/>
        <v>REVIEW</v>
      </c>
    </row>
    <row r="610" spans="1:13" ht="15" customHeight="1" x14ac:dyDescent="0.35">
      <c r="A610" s="1" t="s">
        <v>57</v>
      </c>
      <c r="B610" s="2" t="s">
        <v>58</v>
      </c>
      <c r="C610" s="1" t="s">
        <v>30</v>
      </c>
      <c r="D610" s="1" t="s">
        <v>81</v>
      </c>
      <c r="E610" s="24" t="s">
        <v>19</v>
      </c>
      <c r="F610" s="1" t="s">
        <v>163</v>
      </c>
      <c r="G610" s="1" t="s">
        <v>71</v>
      </c>
      <c r="H610" s="3">
        <f>IFERROR(MOD(TIMEVALUE(G610)-TIMEVALUE(F610),1)*24,0)</f>
        <v>11.416666666666664</v>
      </c>
      <c r="I610" s="24" t="str">
        <f t="shared" si="79"/>
        <v>On Time</v>
      </c>
      <c r="J610" s="1" t="str">
        <f t="shared" si="80"/>
        <v>Full Day</v>
      </c>
      <c r="K610" s="1" t="str">
        <f t="shared" si="81"/>
        <v>Full Day</v>
      </c>
      <c r="L610" s="1" t="str">
        <f t="shared" si="82"/>
        <v>✓ Match</v>
      </c>
      <c r="M610" s="24" t="str">
        <f t="shared" si="83"/>
        <v>CLEAN</v>
      </c>
    </row>
    <row r="611" spans="1:13" ht="15" customHeight="1" x14ac:dyDescent="0.35">
      <c r="A611" s="1" t="s">
        <v>82</v>
      </c>
      <c r="B611" s="2" t="s">
        <v>83</v>
      </c>
      <c r="C611" s="1" t="s">
        <v>68</v>
      </c>
      <c r="D611" s="1" t="s">
        <v>81</v>
      </c>
      <c r="E611" s="24" t="s">
        <v>19</v>
      </c>
      <c r="F611" s="1" t="s">
        <v>129</v>
      </c>
      <c r="G611" s="1" t="s">
        <v>153</v>
      </c>
      <c r="H611" s="3">
        <f>IFERROR(MOD(TIMEVALUE(G611)-TIMEVALUE(F611),1)*24,0)</f>
        <v>11.333333333333332</v>
      </c>
      <c r="I611" s="24" t="str">
        <f t="shared" si="79"/>
        <v>On Time</v>
      </c>
      <c r="J611" s="1" t="str">
        <f t="shared" si="80"/>
        <v>Full Day</v>
      </c>
      <c r="K611" s="1" t="str">
        <f t="shared" si="81"/>
        <v>Full Day</v>
      </c>
      <c r="L611" s="1" t="str">
        <f t="shared" si="82"/>
        <v>✓ Match</v>
      </c>
      <c r="M611" s="24" t="str">
        <f t="shared" si="83"/>
        <v>CLEAN</v>
      </c>
    </row>
    <row r="612" spans="1:13" ht="15" customHeight="1" x14ac:dyDescent="0.35">
      <c r="A612" s="1" t="s">
        <v>53</v>
      </c>
      <c r="B612" s="2" t="s">
        <v>54</v>
      </c>
      <c r="C612" s="1" t="s">
        <v>18</v>
      </c>
      <c r="D612" s="1" t="s">
        <v>81</v>
      </c>
      <c r="E612" s="24" t="s">
        <v>37</v>
      </c>
      <c r="F612" s="1" t="s">
        <v>84</v>
      </c>
      <c r="G612" s="1" t="s">
        <v>153</v>
      </c>
      <c r="H612" s="3">
        <f>IFERROR(MOD(TIMEVALUE(G612)-TIMEVALUE(F612),1)*24,0)</f>
        <v>11.083333333333332</v>
      </c>
      <c r="I612" s="24" t="str">
        <f t="shared" si="79"/>
        <v>Late</v>
      </c>
      <c r="J612" s="1" t="str">
        <f t="shared" si="80"/>
        <v>Full Day</v>
      </c>
      <c r="K612" s="1" t="str">
        <f t="shared" si="81"/>
        <v>Full Day</v>
      </c>
      <c r="L612" s="1" t="str">
        <f t="shared" si="82"/>
        <v>✓ Match</v>
      </c>
      <c r="M612" s="24" t="str">
        <f t="shared" si="83"/>
        <v>CLEAN</v>
      </c>
    </row>
    <row r="613" spans="1:13" ht="15" customHeight="1" x14ac:dyDescent="0.35">
      <c r="A613" s="1" t="s">
        <v>120</v>
      </c>
      <c r="B613" s="2" t="s">
        <v>121</v>
      </c>
      <c r="C613" s="1" t="s">
        <v>11</v>
      </c>
      <c r="D613" s="1" t="s">
        <v>81</v>
      </c>
      <c r="E613" s="24" t="s">
        <v>13</v>
      </c>
      <c r="F613" s="1" t="s">
        <v>14</v>
      </c>
      <c r="G613" s="1" t="s">
        <v>15</v>
      </c>
      <c r="H613" s="3">
        <v>0</v>
      </c>
      <c r="I613" s="24" t="str">
        <f t="shared" si="79"/>
        <v/>
      </c>
      <c r="J613" s="1" t="str">
        <f t="shared" si="80"/>
        <v>Absent</v>
      </c>
      <c r="K613" s="1" t="str">
        <f t="shared" si="81"/>
        <v>N/A</v>
      </c>
      <c r="L613" s="1" t="str">
        <f t="shared" si="82"/>
        <v>⚠ Mismatch</v>
      </c>
      <c r="M613" s="24" t="str">
        <f t="shared" si="83"/>
        <v>REVIEW</v>
      </c>
    </row>
    <row r="614" spans="1:13" ht="15" customHeight="1" x14ac:dyDescent="0.35">
      <c r="A614" s="1" t="s">
        <v>150</v>
      </c>
      <c r="B614" s="2" t="s">
        <v>151</v>
      </c>
      <c r="C614" s="1" t="s">
        <v>68</v>
      </c>
      <c r="D614" s="1" t="s">
        <v>81</v>
      </c>
      <c r="E614" s="24" t="s">
        <v>13</v>
      </c>
      <c r="F614" s="1" t="s">
        <v>14</v>
      </c>
      <c r="G614" s="1" t="s">
        <v>15</v>
      </c>
      <c r="H614" s="3">
        <v>0</v>
      </c>
      <c r="I614" s="24" t="str">
        <f t="shared" si="79"/>
        <v/>
      </c>
      <c r="J614" s="1" t="str">
        <f t="shared" si="80"/>
        <v>Absent</v>
      </c>
      <c r="K614" s="1" t="str">
        <f t="shared" si="81"/>
        <v>N/A</v>
      </c>
      <c r="L614" s="1" t="str">
        <f t="shared" si="82"/>
        <v>⚠ Mismatch</v>
      </c>
      <c r="M614" s="24" t="str">
        <f t="shared" si="83"/>
        <v>REVIEW</v>
      </c>
    </row>
    <row r="615" spans="1:13" ht="15" customHeight="1" x14ac:dyDescent="0.35">
      <c r="A615" s="1" t="s">
        <v>61</v>
      </c>
      <c r="B615" s="2" t="s">
        <v>62</v>
      </c>
      <c r="C615" s="1" t="s">
        <v>11</v>
      </c>
      <c r="D615" s="1" t="s">
        <v>81</v>
      </c>
      <c r="E615" s="24" t="s">
        <v>19</v>
      </c>
      <c r="F615" s="1" t="s">
        <v>70</v>
      </c>
      <c r="G615" s="1" t="s">
        <v>155</v>
      </c>
      <c r="H615" s="3">
        <f>IFERROR(MOD(TIMEVALUE(G615)-TIMEVALUE(F615),1)*24,0)</f>
        <v>6.4166666666666661</v>
      </c>
      <c r="I615" s="24" t="str">
        <f t="shared" si="79"/>
        <v>Late</v>
      </c>
      <c r="J615" s="1" t="str">
        <f t="shared" si="80"/>
        <v>Half Day</v>
      </c>
      <c r="K615" s="1" t="str">
        <f t="shared" si="81"/>
        <v>Half Day</v>
      </c>
      <c r="L615" s="1" t="str">
        <f t="shared" si="82"/>
        <v>✓ Match</v>
      </c>
      <c r="M615" s="24" t="str">
        <f t="shared" si="83"/>
        <v>CLEAN</v>
      </c>
    </row>
    <row r="616" spans="1:13" ht="15" customHeight="1" x14ac:dyDescent="0.35">
      <c r="A616" s="1" t="s">
        <v>112</v>
      </c>
      <c r="B616" s="2" t="s">
        <v>113</v>
      </c>
      <c r="C616" s="1" t="s">
        <v>30</v>
      </c>
      <c r="D616" s="1" t="s">
        <v>81</v>
      </c>
      <c r="E616" s="24" t="s">
        <v>19</v>
      </c>
      <c r="F616" s="1" t="s">
        <v>137</v>
      </c>
      <c r="G616" s="1" t="s">
        <v>127</v>
      </c>
      <c r="H616" s="3">
        <f>IFERROR(MOD(TIMEVALUE(G616)-TIMEVALUE(F616),1)*24,0)</f>
        <v>9.2499999999999982</v>
      </c>
      <c r="I616" s="24" t="str">
        <f t="shared" si="79"/>
        <v>Late</v>
      </c>
      <c r="J616" s="1" t="str">
        <f t="shared" si="80"/>
        <v>Full Day</v>
      </c>
      <c r="K616" s="1" t="str">
        <f t="shared" si="81"/>
        <v>Full Day</v>
      </c>
      <c r="L616" s="1" t="str">
        <f t="shared" si="82"/>
        <v>✓ Match</v>
      </c>
      <c r="M616" s="24" t="str">
        <f t="shared" si="83"/>
        <v>CLEAN</v>
      </c>
    </row>
    <row r="617" spans="1:13" ht="15" customHeight="1" x14ac:dyDescent="0.35">
      <c r="A617" s="1" t="s">
        <v>40</v>
      </c>
      <c r="B617" s="2" t="s">
        <v>41</v>
      </c>
      <c r="C617" s="1" t="s">
        <v>24</v>
      </c>
      <c r="D617" s="1" t="s">
        <v>81</v>
      </c>
      <c r="E617" s="24" t="s">
        <v>13</v>
      </c>
      <c r="F617" s="1" t="s">
        <v>14</v>
      </c>
      <c r="G617" s="1" t="s">
        <v>15</v>
      </c>
      <c r="H617" s="3">
        <v>0</v>
      </c>
      <c r="I617" s="24" t="str">
        <f t="shared" si="79"/>
        <v/>
      </c>
      <c r="J617" s="1" t="str">
        <f t="shared" si="80"/>
        <v>Absent</v>
      </c>
      <c r="K617" s="1" t="str">
        <f t="shared" si="81"/>
        <v>N/A</v>
      </c>
      <c r="L617" s="1" t="str">
        <f t="shared" si="82"/>
        <v>⚠ Mismatch</v>
      </c>
      <c r="M617" s="24" t="str">
        <f t="shared" si="83"/>
        <v>REVIEW</v>
      </c>
    </row>
    <row r="618" spans="1:13" ht="15" customHeight="1" x14ac:dyDescent="0.35">
      <c r="A618" s="1" t="s">
        <v>98</v>
      </c>
      <c r="B618" s="2" t="s">
        <v>99</v>
      </c>
      <c r="C618" s="1" t="s">
        <v>18</v>
      </c>
      <c r="D618" s="1" t="s">
        <v>81</v>
      </c>
      <c r="E618" s="24" t="s">
        <v>19</v>
      </c>
      <c r="F618" s="1" t="s">
        <v>128</v>
      </c>
      <c r="G618" s="1" t="s">
        <v>161</v>
      </c>
      <c r="H618" s="3">
        <f>IFERROR(MOD(TIMEVALUE(G618)-TIMEVALUE(F618),1)*24,0)</f>
        <v>8.6666666666666696</v>
      </c>
      <c r="I618" s="24" t="str">
        <f t="shared" si="79"/>
        <v>Late</v>
      </c>
      <c r="J618" s="1" t="str">
        <f t="shared" si="80"/>
        <v>Full Day</v>
      </c>
      <c r="K618" s="1" t="str">
        <f t="shared" si="81"/>
        <v>Full Day</v>
      </c>
      <c r="L618" s="1" t="str">
        <f t="shared" si="82"/>
        <v>✓ Match</v>
      </c>
      <c r="M618" s="24" t="str">
        <f t="shared" si="83"/>
        <v>CLEAN</v>
      </c>
    </row>
    <row r="619" spans="1:13" ht="15" customHeight="1" x14ac:dyDescent="0.35">
      <c r="A619" s="1" t="s">
        <v>130</v>
      </c>
      <c r="B619" s="2" t="s">
        <v>131</v>
      </c>
      <c r="C619" s="1" t="s">
        <v>11</v>
      </c>
      <c r="D619" s="1" t="s">
        <v>81</v>
      </c>
      <c r="E619" s="24" t="s">
        <v>19</v>
      </c>
      <c r="F619" s="1" t="s">
        <v>26</v>
      </c>
      <c r="G619" s="1" t="s">
        <v>109</v>
      </c>
      <c r="H619" s="3">
        <f>IFERROR(MOD(TIMEVALUE(G619)-TIMEVALUE(F619),1)*24,0)</f>
        <v>7.1666666666666661</v>
      </c>
      <c r="I619" s="24" t="str">
        <f t="shared" si="79"/>
        <v>Late</v>
      </c>
      <c r="J619" s="1" t="str">
        <f t="shared" si="80"/>
        <v>Half Day</v>
      </c>
      <c r="K619" s="1" t="str">
        <f t="shared" si="81"/>
        <v>Half Day</v>
      </c>
      <c r="L619" s="1" t="str">
        <f t="shared" si="82"/>
        <v>✓ Match</v>
      </c>
      <c r="M619" s="24" t="str">
        <f t="shared" si="83"/>
        <v>CLEAN</v>
      </c>
    </row>
    <row r="620" spans="1:13" ht="15" customHeight="1" x14ac:dyDescent="0.35">
      <c r="A620" s="1" t="s">
        <v>110</v>
      </c>
      <c r="B620" s="2" t="s">
        <v>111</v>
      </c>
      <c r="C620" s="1" t="s">
        <v>68</v>
      </c>
      <c r="D620" s="1" t="s">
        <v>81</v>
      </c>
      <c r="E620" s="24" t="s">
        <v>19</v>
      </c>
      <c r="F620" s="1" t="s">
        <v>129</v>
      </c>
      <c r="G620" s="1" t="s">
        <v>85</v>
      </c>
      <c r="H620" s="3">
        <f>IFERROR(MOD(TIMEVALUE(G620)-TIMEVALUE(F620),1)*24,0)</f>
        <v>7.1666666666666679</v>
      </c>
      <c r="I620" s="24" t="str">
        <f t="shared" si="79"/>
        <v>On Time</v>
      </c>
      <c r="J620" s="1" t="str">
        <f t="shared" si="80"/>
        <v>Half Day</v>
      </c>
      <c r="K620" s="1" t="str">
        <f t="shared" si="81"/>
        <v>Half Day</v>
      </c>
      <c r="L620" s="1" t="str">
        <f t="shared" si="82"/>
        <v>✓ Match</v>
      </c>
      <c r="M620" s="24" t="str">
        <f t="shared" si="83"/>
        <v>CLEAN</v>
      </c>
    </row>
    <row r="621" spans="1:13" ht="15" customHeight="1" x14ac:dyDescent="0.35">
      <c r="A621" s="1" t="s">
        <v>16</v>
      </c>
      <c r="B621" s="2" t="s">
        <v>17</v>
      </c>
      <c r="C621" s="1" t="s">
        <v>18</v>
      </c>
      <c r="D621" s="1" t="s">
        <v>81</v>
      </c>
      <c r="E621" s="24" t="s">
        <v>19</v>
      </c>
      <c r="F621" s="1" t="s">
        <v>129</v>
      </c>
      <c r="G621" s="1" t="s">
        <v>153</v>
      </c>
      <c r="H621" s="3">
        <f>IFERROR(MOD(TIMEVALUE(G621)-TIMEVALUE(F621),1)*24,0)</f>
        <v>11.333333333333332</v>
      </c>
      <c r="I621" s="24" t="str">
        <f t="shared" si="79"/>
        <v>On Time</v>
      </c>
      <c r="J621" s="1" t="str">
        <f t="shared" si="80"/>
        <v>Full Day</v>
      </c>
      <c r="K621" s="1" t="str">
        <f t="shared" si="81"/>
        <v>Full Day</v>
      </c>
      <c r="L621" s="1" t="str">
        <f t="shared" si="82"/>
        <v>✓ Match</v>
      </c>
      <c r="M621" s="24" t="str">
        <f t="shared" si="83"/>
        <v>CLEAN</v>
      </c>
    </row>
    <row r="622" spans="1:13" ht="15" customHeight="1" x14ac:dyDescent="0.35">
      <c r="A622" s="1" t="s">
        <v>142</v>
      </c>
      <c r="B622" s="2" t="s">
        <v>143</v>
      </c>
      <c r="C622" s="1" t="s">
        <v>18</v>
      </c>
      <c r="D622" s="1" t="s">
        <v>81</v>
      </c>
      <c r="E622" s="24" t="s">
        <v>19</v>
      </c>
      <c r="F622" s="1" t="s">
        <v>32</v>
      </c>
      <c r="G622" s="1" t="s">
        <v>65</v>
      </c>
      <c r="H622" s="3">
        <f>IFERROR(MOD(TIMEVALUE(G622)-TIMEVALUE(F622),1)*24,0)</f>
        <v>9.8333333333333339</v>
      </c>
      <c r="I622" s="24" t="str">
        <f t="shared" si="79"/>
        <v>On Time</v>
      </c>
      <c r="J622" s="1" t="str">
        <f t="shared" si="80"/>
        <v>Full Day</v>
      </c>
      <c r="K622" s="1" t="str">
        <f t="shared" si="81"/>
        <v>Full Day</v>
      </c>
      <c r="L622" s="1" t="str">
        <f t="shared" si="82"/>
        <v>✓ Match</v>
      </c>
      <c r="M622" s="24" t="str">
        <f t="shared" si="83"/>
        <v>CLEAN</v>
      </c>
    </row>
    <row r="623" spans="1:13" ht="15" customHeight="1" x14ac:dyDescent="0.35">
      <c r="A623" s="1" t="s">
        <v>101</v>
      </c>
      <c r="B623" s="2" t="s">
        <v>102</v>
      </c>
      <c r="C623" s="1" t="s">
        <v>30</v>
      </c>
      <c r="D623" s="1" t="s">
        <v>81</v>
      </c>
      <c r="E623" s="24" t="s">
        <v>13</v>
      </c>
      <c r="F623" s="1" t="s">
        <v>14</v>
      </c>
      <c r="G623" s="1" t="s">
        <v>15</v>
      </c>
      <c r="H623" s="3">
        <v>0</v>
      </c>
      <c r="I623" s="24" t="str">
        <f t="shared" si="79"/>
        <v/>
      </c>
      <c r="J623" s="1" t="str">
        <f t="shared" si="80"/>
        <v>Absent</v>
      </c>
      <c r="K623" s="1" t="str">
        <f t="shared" si="81"/>
        <v>N/A</v>
      </c>
      <c r="L623" s="1" t="str">
        <f t="shared" si="82"/>
        <v>⚠ Mismatch</v>
      </c>
      <c r="M623" s="24" t="str">
        <f t="shared" si="83"/>
        <v>REVIEW</v>
      </c>
    </row>
    <row r="624" spans="1:13" ht="15" customHeight="1" x14ac:dyDescent="0.35">
      <c r="A624" s="1" t="s">
        <v>66</v>
      </c>
      <c r="B624" s="2" t="s">
        <v>67</v>
      </c>
      <c r="C624" s="1" t="s">
        <v>68</v>
      </c>
      <c r="D624" s="1" t="s">
        <v>81</v>
      </c>
      <c r="E624" s="24" t="s">
        <v>19</v>
      </c>
      <c r="F624" s="1" t="s">
        <v>138</v>
      </c>
      <c r="G624" s="1" t="s">
        <v>107</v>
      </c>
      <c r="H624" s="3">
        <f>IFERROR(MOD(TIMEVALUE(G624)-TIMEVALUE(F624),1)*24,0)</f>
        <v>9.0833333333333321</v>
      </c>
      <c r="I624" s="24" t="str">
        <f t="shared" si="79"/>
        <v>Late</v>
      </c>
      <c r="J624" s="1" t="str">
        <f t="shared" si="80"/>
        <v>Full Day</v>
      </c>
      <c r="K624" s="1" t="str">
        <f t="shared" si="81"/>
        <v>Full Day</v>
      </c>
      <c r="L624" s="1" t="str">
        <f t="shared" si="82"/>
        <v>✓ Match</v>
      </c>
      <c r="M624" s="24" t="str">
        <f t="shared" si="83"/>
        <v>CLEAN</v>
      </c>
    </row>
    <row r="625" spans="1:13" ht="15" customHeight="1" x14ac:dyDescent="0.35">
      <c r="A625" s="1" t="s">
        <v>158</v>
      </c>
      <c r="B625" s="2" t="s">
        <v>159</v>
      </c>
      <c r="C625" s="1" t="s">
        <v>11</v>
      </c>
      <c r="D625" s="1" t="s">
        <v>81</v>
      </c>
      <c r="E625" s="24" t="s">
        <v>13</v>
      </c>
      <c r="F625" s="1" t="s">
        <v>14</v>
      </c>
      <c r="G625" s="1" t="s">
        <v>15</v>
      </c>
      <c r="H625" s="3">
        <v>0</v>
      </c>
      <c r="I625" s="24" t="str">
        <f t="shared" si="79"/>
        <v/>
      </c>
      <c r="J625" s="1" t="str">
        <f t="shared" si="80"/>
        <v>Absent</v>
      </c>
      <c r="K625" s="1" t="str">
        <f t="shared" si="81"/>
        <v>N/A</v>
      </c>
      <c r="L625" s="1" t="str">
        <f t="shared" si="82"/>
        <v>⚠ Mismatch</v>
      </c>
      <c r="M625" s="24" t="str">
        <f t="shared" si="83"/>
        <v>REVIEW</v>
      </c>
    </row>
    <row r="626" spans="1:13" ht="15" customHeight="1" x14ac:dyDescent="0.35">
      <c r="A626" s="1" t="s">
        <v>95</v>
      </c>
      <c r="B626" s="2" t="s">
        <v>96</v>
      </c>
      <c r="C626" s="1" t="s">
        <v>68</v>
      </c>
      <c r="D626" s="1" t="s">
        <v>81</v>
      </c>
      <c r="E626" s="24" t="s">
        <v>19</v>
      </c>
      <c r="F626" s="1" t="s">
        <v>56</v>
      </c>
      <c r="G626" s="1" t="s">
        <v>123</v>
      </c>
      <c r="H626" s="3">
        <f t="shared" ref="H626:H649" si="86">IFERROR(MOD(TIMEVALUE(G626)-TIMEVALUE(F626),1)*24,0)</f>
        <v>9.9166666666666679</v>
      </c>
      <c r="I626" s="24" t="str">
        <f t="shared" si="79"/>
        <v>Late</v>
      </c>
      <c r="J626" s="1" t="str">
        <f t="shared" si="80"/>
        <v>Full Day</v>
      </c>
      <c r="K626" s="1" t="str">
        <f t="shared" si="81"/>
        <v>Full Day</v>
      </c>
      <c r="L626" s="1" t="str">
        <f t="shared" si="82"/>
        <v>✓ Match</v>
      </c>
      <c r="M626" s="24" t="str">
        <f t="shared" si="83"/>
        <v>CLEAN</v>
      </c>
    </row>
    <row r="627" spans="1:13" ht="15" customHeight="1" x14ac:dyDescent="0.35">
      <c r="A627" s="1" t="s">
        <v>9</v>
      </c>
      <c r="B627" s="2" t="s">
        <v>10</v>
      </c>
      <c r="C627" s="1" t="s">
        <v>11</v>
      </c>
      <c r="D627" s="1" t="s">
        <v>81</v>
      </c>
      <c r="E627" s="24" t="s">
        <v>19</v>
      </c>
      <c r="F627" s="1" t="s">
        <v>43</v>
      </c>
      <c r="G627" s="1" t="s">
        <v>153</v>
      </c>
      <c r="H627" s="3">
        <f t="shared" si="86"/>
        <v>11.833333333333332</v>
      </c>
      <c r="I627" s="24" t="str">
        <f t="shared" si="79"/>
        <v>On Time</v>
      </c>
      <c r="J627" s="1" t="str">
        <f t="shared" si="80"/>
        <v>Full Day</v>
      </c>
      <c r="K627" s="1" t="str">
        <f t="shared" si="81"/>
        <v>Full Day</v>
      </c>
      <c r="L627" s="1" t="str">
        <f t="shared" si="82"/>
        <v>✓ Match</v>
      </c>
      <c r="M627" s="24" t="str">
        <f t="shared" si="83"/>
        <v>CLEAN</v>
      </c>
    </row>
    <row r="628" spans="1:13" ht="15" customHeight="1" x14ac:dyDescent="0.35">
      <c r="A628" s="1" t="s">
        <v>22</v>
      </c>
      <c r="B628" s="2" t="s">
        <v>23</v>
      </c>
      <c r="C628" s="1" t="s">
        <v>24</v>
      </c>
      <c r="D628" s="1" t="s">
        <v>81</v>
      </c>
      <c r="E628" s="24" t="s">
        <v>19</v>
      </c>
      <c r="F628" s="1" t="s">
        <v>87</v>
      </c>
      <c r="G628" s="1" t="s">
        <v>35</v>
      </c>
      <c r="H628" s="3">
        <f t="shared" si="86"/>
        <v>8.1666666666666679</v>
      </c>
      <c r="I628" s="24" t="str">
        <f t="shared" si="79"/>
        <v>Late</v>
      </c>
      <c r="J628" s="1" t="str">
        <f t="shared" si="80"/>
        <v>Full Day</v>
      </c>
      <c r="K628" s="1" t="str">
        <f t="shared" si="81"/>
        <v>Full Day</v>
      </c>
      <c r="L628" s="1" t="str">
        <f t="shared" si="82"/>
        <v>✓ Match</v>
      </c>
      <c r="M628" s="24" t="str">
        <f t="shared" si="83"/>
        <v>CLEAN</v>
      </c>
    </row>
    <row r="629" spans="1:13" ht="15" customHeight="1" x14ac:dyDescent="0.35">
      <c r="A629" s="1" t="s">
        <v>105</v>
      </c>
      <c r="B629" s="2" t="s">
        <v>106</v>
      </c>
      <c r="C629" s="1" t="s">
        <v>11</v>
      </c>
      <c r="D629" s="1" t="s">
        <v>81</v>
      </c>
      <c r="E629" s="24" t="s">
        <v>37</v>
      </c>
      <c r="F629" s="1" t="s">
        <v>20</v>
      </c>
      <c r="G629" s="1" t="s">
        <v>161</v>
      </c>
      <c r="H629" s="3">
        <f t="shared" si="86"/>
        <v>9.4166666666666696</v>
      </c>
      <c r="I629" s="24" t="str">
        <f t="shared" si="79"/>
        <v>On Time</v>
      </c>
      <c r="J629" s="1" t="str">
        <f t="shared" si="80"/>
        <v>Full Day</v>
      </c>
      <c r="K629" s="1" t="str">
        <f t="shared" si="81"/>
        <v>Full Day</v>
      </c>
      <c r="L629" s="1" t="str">
        <f t="shared" si="82"/>
        <v>✓ Match</v>
      </c>
      <c r="M629" s="24" t="str">
        <f t="shared" si="83"/>
        <v>CLEAN</v>
      </c>
    </row>
    <row r="630" spans="1:13" ht="15" customHeight="1" x14ac:dyDescent="0.35">
      <c r="A630" s="1" t="s">
        <v>117</v>
      </c>
      <c r="B630" s="2" t="s">
        <v>118</v>
      </c>
      <c r="C630" s="1" t="s">
        <v>30</v>
      </c>
      <c r="D630" s="1" t="s">
        <v>81</v>
      </c>
      <c r="E630" s="24" t="s">
        <v>37</v>
      </c>
      <c r="F630" s="1" t="s">
        <v>137</v>
      </c>
      <c r="G630" s="1" t="s">
        <v>35</v>
      </c>
      <c r="H630" s="3">
        <f t="shared" si="86"/>
        <v>10.083333333333334</v>
      </c>
      <c r="I630" s="24" t="str">
        <f t="shared" si="79"/>
        <v>Late</v>
      </c>
      <c r="J630" s="1" t="str">
        <f t="shared" si="80"/>
        <v>Full Day</v>
      </c>
      <c r="K630" s="1" t="str">
        <f t="shared" si="81"/>
        <v>Full Day</v>
      </c>
      <c r="L630" s="1" t="str">
        <f t="shared" si="82"/>
        <v>✓ Match</v>
      </c>
      <c r="M630" s="24" t="str">
        <f t="shared" si="83"/>
        <v>CLEAN</v>
      </c>
    </row>
    <row r="631" spans="1:13" ht="15" customHeight="1" x14ac:dyDescent="0.35">
      <c r="A631" s="1" t="s">
        <v>47</v>
      </c>
      <c r="B631" s="2" t="s">
        <v>48</v>
      </c>
      <c r="C631" s="1" t="s">
        <v>18</v>
      </c>
      <c r="D631" s="1" t="s">
        <v>81</v>
      </c>
      <c r="E631" s="24" t="s">
        <v>19</v>
      </c>
      <c r="F631" s="1" t="s">
        <v>100</v>
      </c>
      <c r="G631" s="1" t="s">
        <v>107</v>
      </c>
      <c r="H631" s="3">
        <f t="shared" si="86"/>
        <v>10.25</v>
      </c>
      <c r="I631" s="24" t="str">
        <f t="shared" si="79"/>
        <v>On Time</v>
      </c>
      <c r="J631" s="1" t="str">
        <f t="shared" si="80"/>
        <v>Full Day</v>
      </c>
      <c r="K631" s="1" t="str">
        <f t="shared" si="81"/>
        <v>Full Day</v>
      </c>
      <c r="L631" s="1" t="str">
        <f t="shared" si="82"/>
        <v>✓ Match</v>
      </c>
      <c r="M631" s="24" t="str">
        <f t="shared" si="83"/>
        <v>CLEAN</v>
      </c>
    </row>
    <row r="632" spans="1:13" ht="15" customHeight="1" x14ac:dyDescent="0.35">
      <c r="A632" s="1" t="s">
        <v>124</v>
      </c>
      <c r="B632" s="2" t="s">
        <v>125</v>
      </c>
      <c r="C632" s="1" t="s">
        <v>68</v>
      </c>
      <c r="D632" s="1" t="s">
        <v>81</v>
      </c>
      <c r="E632" s="24" t="s">
        <v>19</v>
      </c>
      <c r="F632" s="1" t="s">
        <v>20</v>
      </c>
      <c r="G632" s="1" t="s">
        <v>108</v>
      </c>
      <c r="H632" s="3">
        <f t="shared" si="86"/>
        <v>11.75</v>
      </c>
      <c r="I632" s="24" t="str">
        <f t="shared" si="79"/>
        <v>On Time</v>
      </c>
      <c r="J632" s="1" t="str">
        <f t="shared" si="80"/>
        <v>Full Day</v>
      </c>
      <c r="K632" s="1" t="str">
        <f t="shared" si="81"/>
        <v>Full Day</v>
      </c>
      <c r="L632" s="1" t="str">
        <f t="shared" si="82"/>
        <v>✓ Match</v>
      </c>
      <c r="M632" s="24" t="str">
        <f t="shared" si="83"/>
        <v>CLEAN</v>
      </c>
    </row>
    <row r="633" spans="1:13" ht="15" customHeight="1" x14ac:dyDescent="0.35">
      <c r="A633" s="1" t="s">
        <v>72</v>
      </c>
      <c r="B633" s="2" t="s">
        <v>73</v>
      </c>
      <c r="C633" s="1" t="s">
        <v>68</v>
      </c>
      <c r="D633" s="1" t="s">
        <v>74</v>
      </c>
      <c r="E633" s="24" t="s">
        <v>19</v>
      </c>
      <c r="F633" s="1" t="s">
        <v>75</v>
      </c>
      <c r="G633" s="1" t="s">
        <v>50</v>
      </c>
      <c r="H633" s="3">
        <f t="shared" si="86"/>
        <v>8.75</v>
      </c>
      <c r="I633" s="24" t="str">
        <f t="shared" si="79"/>
        <v>On Time</v>
      </c>
      <c r="J633" s="1" t="str">
        <f t="shared" si="80"/>
        <v>Full Day</v>
      </c>
      <c r="K633" s="1" t="str">
        <f t="shared" si="81"/>
        <v>Full Day</v>
      </c>
      <c r="L633" s="1" t="str">
        <f t="shared" si="82"/>
        <v>✓ Match</v>
      </c>
      <c r="M633" s="24" t="str">
        <f t="shared" si="83"/>
        <v>CLEAN</v>
      </c>
    </row>
    <row r="634" spans="1:13" ht="15" customHeight="1" x14ac:dyDescent="0.35">
      <c r="A634" s="1" t="s">
        <v>9</v>
      </c>
      <c r="B634" s="2" t="s">
        <v>10</v>
      </c>
      <c r="C634" s="1" t="s">
        <v>11</v>
      </c>
      <c r="D634" s="1" t="s">
        <v>74</v>
      </c>
      <c r="E634" s="24" t="s">
        <v>19</v>
      </c>
      <c r="F634" s="1" t="s">
        <v>89</v>
      </c>
      <c r="G634" s="1" t="s">
        <v>90</v>
      </c>
      <c r="H634" s="3">
        <f t="shared" si="86"/>
        <v>10</v>
      </c>
      <c r="I634" s="24" t="str">
        <f t="shared" si="79"/>
        <v>Late</v>
      </c>
      <c r="J634" s="1" t="str">
        <f t="shared" si="80"/>
        <v>Full Day</v>
      </c>
      <c r="K634" s="1" t="str">
        <f t="shared" si="81"/>
        <v>Full Day</v>
      </c>
      <c r="L634" s="1" t="str">
        <f t="shared" si="82"/>
        <v>✓ Match</v>
      </c>
      <c r="M634" s="24" t="str">
        <f t="shared" si="83"/>
        <v>CLEAN</v>
      </c>
    </row>
    <row r="635" spans="1:13" ht="15" customHeight="1" x14ac:dyDescent="0.35">
      <c r="A635" s="1" t="s">
        <v>112</v>
      </c>
      <c r="B635" s="2" t="s">
        <v>113</v>
      </c>
      <c r="C635" s="1" t="s">
        <v>30</v>
      </c>
      <c r="D635" s="1" t="s">
        <v>74</v>
      </c>
      <c r="E635" s="24" t="s">
        <v>19</v>
      </c>
      <c r="F635" s="1" t="s">
        <v>26</v>
      </c>
      <c r="G635" s="1" t="s">
        <v>78</v>
      </c>
      <c r="H635" s="3">
        <f t="shared" si="86"/>
        <v>7.6666666666666679</v>
      </c>
      <c r="I635" s="24" t="str">
        <f t="shared" si="79"/>
        <v>Late</v>
      </c>
      <c r="J635" s="1" t="str">
        <f t="shared" si="80"/>
        <v>Half Day</v>
      </c>
      <c r="K635" s="1" t="str">
        <f t="shared" si="81"/>
        <v>Half Day</v>
      </c>
      <c r="L635" s="1" t="str">
        <f t="shared" si="82"/>
        <v>✓ Match</v>
      </c>
      <c r="M635" s="24" t="str">
        <f t="shared" si="83"/>
        <v>CLEAN</v>
      </c>
    </row>
    <row r="636" spans="1:13" ht="15" customHeight="1" x14ac:dyDescent="0.35">
      <c r="A636" s="1" t="s">
        <v>22</v>
      </c>
      <c r="B636" s="2" t="s">
        <v>23</v>
      </c>
      <c r="C636" s="1" t="s">
        <v>24</v>
      </c>
      <c r="D636" s="1" t="s">
        <v>74</v>
      </c>
      <c r="E636" s="24" t="s">
        <v>19</v>
      </c>
      <c r="F636" s="1" t="s">
        <v>129</v>
      </c>
      <c r="G636" s="1" t="s">
        <v>90</v>
      </c>
      <c r="H636" s="3">
        <f t="shared" si="86"/>
        <v>11</v>
      </c>
      <c r="I636" s="24" t="str">
        <f t="shared" si="79"/>
        <v>On Time</v>
      </c>
      <c r="J636" s="1" t="str">
        <f t="shared" si="80"/>
        <v>Full Day</v>
      </c>
      <c r="K636" s="1" t="str">
        <f t="shared" si="81"/>
        <v>Full Day</v>
      </c>
      <c r="L636" s="1" t="str">
        <f t="shared" si="82"/>
        <v>✓ Match</v>
      </c>
      <c r="M636" s="24" t="str">
        <f t="shared" si="83"/>
        <v>CLEAN</v>
      </c>
    </row>
    <row r="637" spans="1:13" ht="15" customHeight="1" x14ac:dyDescent="0.35">
      <c r="A637" s="1" t="s">
        <v>79</v>
      </c>
      <c r="B637" s="2" t="s">
        <v>80</v>
      </c>
      <c r="C637" s="1" t="s">
        <v>18</v>
      </c>
      <c r="D637" s="1" t="s">
        <v>74</v>
      </c>
      <c r="E637" s="24" t="s">
        <v>19</v>
      </c>
      <c r="F637" s="1" t="s">
        <v>152</v>
      </c>
      <c r="G637" s="1" t="s">
        <v>153</v>
      </c>
      <c r="H637" s="3">
        <f t="shared" si="86"/>
        <v>9.8333333333333321</v>
      </c>
      <c r="I637" s="24" t="str">
        <f t="shared" si="79"/>
        <v>Late</v>
      </c>
      <c r="J637" s="1" t="str">
        <f t="shared" si="80"/>
        <v>Full Day</v>
      </c>
      <c r="K637" s="1" t="str">
        <f t="shared" si="81"/>
        <v>Full Day</v>
      </c>
      <c r="L637" s="1" t="str">
        <f t="shared" si="82"/>
        <v>✓ Match</v>
      </c>
      <c r="M637" s="24" t="str">
        <f t="shared" si="83"/>
        <v>CLEAN</v>
      </c>
    </row>
    <row r="638" spans="1:13" ht="15" customHeight="1" x14ac:dyDescent="0.35">
      <c r="A638" s="1" t="s">
        <v>61</v>
      </c>
      <c r="B638" s="2" t="s">
        <v>62</v>
      </c>
      <c r="C638" s="1" t="s">
        <v>11</v>
      </c>
      <c r="D638" s="1" t="s">
        <v>74</v>
      </c>
      <c r="E638" s="24" t="s">
        <v>19</v>
      </c>
      <c r="F638" s="1" t="s">
        <v>100</v>
      </c>
      <c r="G638" s="1" t="s">
        <v>157</v>
      </c>
      <c r="H638" s="3">
        <f t="shared" si="86"/>
        <v>6.0000000000000018</v>
      </c>
      <c r="I638" s="24" t="str">
        <f t="shared" si="79"/>
        <v>On Time</v>
      </c>
      <c r="J638" s="1" t="str">
        <f t="shared" si="80"/>
        <v>Half Day</v>
      </c>
      <c r="K638" s="1" t="str">
        <f t="shared" si="81"/>
        <v>Half Day</v>
      </c>
      <c r="L638" s="1" t="str">
        <f t="shared" si="82"/>
        <v>✓ Match</v>
      </c>
      <c r="M638" s="24" t="str">
        <f t="shared" si="83"/>
        <v>CLEAN</v>
      </c>
    </row>
    <row r="639" spans="1:13" ht="15" customHeight="1" x14ac:dyDescent="0.35">
      <c r="A639" s="1" t="s">
        <v>110</v>
      </c>
      <c r="B639" s="2" t="s">
        <v>111</v>
      </c>
      <c r="C639" s="1" t="s">
        <v>68</v>
      </c>
      <c r="D639" s="1" t="s">
        <v>74</v>
      </c>
      <c r="E639" s="24" t="s">
        <v>19</v>
      </c>
      <c r="F639" s="1" t="s">
        <v>104</v>
      </c>
      <c r="G639" s="1" t="s">
        <v>90</v>
      </c>
      <c r="H639" s="3">
        <f t="shared" si="86"/>
        <v>9.8333333333333339</v>
      </c>
      <c r="I639" s="24" t="str">
        <f t="shared" si="79"/>
        <v>Late</v>
      </c>
      <c r="J639" s="1" t="str">
        <f t="shared" si="80"/>
        <v>Full Day</v>
      </c>
      <c r="K639" s="1" t="str">
        <f t="shared" si="81"/>
        <v>Full Day</v>
      </c>
      <c r="L639" s="1" t="str">
        <f t="shared" si="82"/>
        <v>✓ Match</v>
      </c>
      <c r="M639" s="24" t="str">
        <f t="shared" si="83"/>
        <v>CLEAN</v>
      </c>
    </row>
    <row r="640" spans="1:13" ht="15" customHeight="1" x14ac:dyDescent="0.35">
      <c r="A640" s="1" t="s">
        <v>95</v>
      </c>
      <c r="B640" s="2" t="s">
        <v>96</v>
      </c>
      <c r="C640" s="1" t="s">
        <v>68</v>
      </c>
      <c r="D640" s="1" t="s">
        <v>74</v>
      </c>
      <c r="E640" s="24" t="s">
        <v>19</v>
      </c>
      <c r="F640" s="1" t="s">
        <v>128</v>
      </c>
      <c r="G640" s="1" t="s">
        <v>94</v>
      </c>
      <c r="H640" s="3">
        <f t="shared" si="86"/>
        <v>9.7500000000000018</v>
      </c>
      <c r="I640" s="24" t="str">
        <f t="shared" si="79"/>
        <v>Late</v>
      </c>
      <c r="J640" s="1" t="str">
        <f t="shared" si="80"/>
        <v>Full Day</v>
      </c>
      <c r="K640" s="1" t="str">
        <f t="shared" si="81"/>
        <v>Full Day</v>
      </c>
      <c r="L640" s="1" t="str">
        <f t="shared" si="82"/>
        <v>✓ Match</v>
      </c>
      <c r="M640" s="24" t="str">
        <f t="shared" si="83"/>
        <v>CLEAN</v>
      </c>
    </row>
    <row r="641" spans="1:13" ht="15" customHeight="1" x14ac:dyDescent="0.35">
      <c r="A641" s="1" t="s">
        <v>57</v>
      </c>
      <c r="B641" s="2" t="s">
        <v>58</v>
      </c>
      <c r="C641" s="1" t="s">
        <v>30</v>
      </c>
      <c r="D641" s="1" t="s">
        <v>74</v>
      </c>
      <c r="E641" s="24" t="s">
        <v>19</v>
      </c>
      <c r="F641" s="1" t="s">
        <v>26</v>
      </c>
      <c r="G641" s="1" t="s">
        <v>39</v>
      </c>
      <c r="H641" s="3">
        <f t="shared" si="86"/>
        <v>8.6666666666666661</v>
      </c>
      <c r="I641" s="24" t="str">
        <f t="shared" si="79"/>
        <v>Late</v>
      </c>
      <c r="J641" s="1" t="str">
        <f t="shared" si="80"/>
        <v>Full Day</v>
      </c>
      <c r="K641" s="1" t="str">
        <f t="shared" si="81"/>
        <v>Full Day</v>
      </c>
      <c r="L641" s="1" t="str">
        <f t="shared" si="82"/>
        <v>✓ Match</v>
      </c>
      <c r="M641" s="24" t="str">
        <f t="shared" si="83"/>
        <v>CLEAN</v>
      </c>
    </row>
    <row r="642" spans="1:13" ht="15" customHeight="1" x14ac:dyDescent="0.35">
      <c r="A642" s="1" t="s">
        <v>120</v>
      </c>
      <c r="B642" s="2" t="s">
        <v>121</v>
      </c>
      <c r="C642" s="1" t="s">
        <v>11</v>
      </c>
      <c r="D642" s="1" t="s">
        <v>74</v>
      </c>
      <c r="E642" s="24" t="s">
        <v>37</v>
      </c>
      <c r="F642" s="1" t="s">
        <v>38</v>
      </c>
      <c r="G642" s="1" t="s">
        <v>161</v>
      </c>
      <c r="H642" s="3">
        <f t="shared" si="86"/>
        <v>6.8333333333333339</v>
      </c>
      <c r="I642" s="24" t="str">
        <f t="shared" si="79"/>
        <v>Late</v>
      </c>
      <c r="J642" s="1" t="str">
        <f t="shared" si="80"/>
        <v>Half Day</v>
      </c>
      <c r="K642" s="1" t="str">
        <f t="shared" si="81"/>
        <v>Half Day</v>
      </c>
      <c r="L642" s="1" t="str">
        <f t="shared" si="82"/>
        <v>✓ Match</v>
      </c>
      <c r="M642" s="24" t="str">
        <f t="shared" si="83"/>
        <v>CLEAN</v>
      </c>
    </row>
    <row r="643" spans="1:13" ht="15" customHeight="1" x14ac:dyDescent="0.35">
      <c r="A643" s="1" t="s">
        <v>117</v>
      </c>
      <c r="B643" s="2" t="s">
        <v>118</v>
      </c>
      <c r="C643" s="1" t="s">
        <v>30</v>
      </c>
      <c r="D643" s="1" t="s">
        <v>74</v>
      </c>
      <c r="E643" s="24" t="s">
        <v>19</v>
      </c>
      <c r="F643" s="1" t="s">
        <v>93</v>
      </c>
      <c r="G643" s="1" t="s">
        <v>60</v>
      </c>
      <c r="H643" s="3">
        <f t="shared" si="86"/>
        <v>8.6666666666666643</v>
      </c>
      <c r="I643" s="24" t="str">
        <f t="shared" ref="I643:I706" si="87">IF(F643="No Login","",IF(TIMEVALUE(F643)&gt;TIMEVALUE("09:00"),"Late","On Time"))</f>
        <v>Late</v>
      </c>
      <c r="J643" s="1" t="str">
        <f t="shared" ref="J643:J706" si="88">IF(E643="Absent","Absent",IF(H643&gt;=8,"Full Day",IF(H643&gt;=4,"Half Day","Short")))</f>
        <v>Full Day</v>
      </c>
      <c r="K643" s="1" t="str">
        <f t="shared" ref="K643:K706" si="89">IF(E643="Absent","N/A",IF(H643&gt;=8,"Full Day",IF(H643&gt;=4,"Half Day","Short")))</f>
        <v>Full Day</v>
      </c>
      <c r="L643" s="1" t="str">
        <f t="shared" ref="L643:L706" si="90">IF(J643=K643,"✓ Match","⚠ Mismatch")</f>
        <v>✓ Match</v>
      </c>
      <c r="M643" s="24" t="str">
        <f t="shared" ref="M643:M706" si="91">IF(AND(J643=K643,OR(E643="Present",E643="Work From Home",E643="Absent")),"CLEAN","REVIEW")</f>
        <v>CLEAN</v>
      </c>
    </row>
    <row r="644" spans="1:13" ht="15" customHeight="1" x14ac:dyDescent="0.35">
      <c r="A644" s="1" t="s">
        <v>53</v>
      </c>
      <c r="B644" s="2" t="s">
        <v>54</v>
      </c>
      <c r="C644" s="1" t="s">
        <v>18</v>
      </c>
      <c r="D644" s="1" t="s">
        <v>74</v>
      </c>
      <c r="E644" s="24" t="s">
        <v>19</v>
      </c>
      <c r="F644" s="1" t="s">
        <v>163</v>
      </c>
      <c r="G644" s="1" t="s">
        <v>90</v>
      </c>
      <c r="H644" s="3">
        <f t="shared" si="86"/>
        <v>11.666666666666666</v>
      </c>
      <c r="I644" s="24" t="str">
        <f t="shared" si="87"/>
        <v>On Time</v>
      </c>
      <c r="J644" s="1" t="str">
        <f t="shared" si="88"/>
        <v>Full Day</v>
      </c>
      <c r="K644" s="1" t="str">
        <f t="shared" si="89"/>
        <v>Full Day</v>
      </c>
      <c r="L644" s="1" t="str">
        <f t="shared" si="90"/>
        <v>✓ Match</v>
      </c>
      <c r="M644" s="24" t="str">
        <f t="shared" si="91"/>
        <v>CLEAN</v>
      </c>
    </row>
    <row r="645" spans="1:13" ht="15" customHeight="1" x14ac:dyDescent="0.35">
      <c r="A645" s="1" t="s">
        <v>130</v>
      </c>
      <c r="B645" s="2" t="s">
        <v>131</v>
      </c>
      <c r="C645" s="1" t="s">
        <v>11</v>
      </c>
      <c r="D645" s="1" t="s">
        <v>74</v>
      </c>
      <c r="E645" s="24" t="s">
        <v>37</v>
      </c>
      <c r="F645" s="1" t="s">
        <v>137</v>
      </c>
      <c r="G645" s="1" t="s">
        <v>156</v>
      </c>
      <c r="H645" s="3">
        <f t="shared" si="86"/>
        <v>8.4166666666666643</v>
      </c>
      <c r="I645" s="24" t="str">
        <f t="shared" si="87"/>
        <v>Late</v>
      </c>
      <c r="J645" s="1" t="str">
        <f t="shared" si="88"/>
        <v>Full Day</v>
      </c>
      <c r="K645" s="1" t="str">
        <f t="shared" si="89"/>
        <v>Full Day</v>
      </c>
      <c r="L645" s="1" t="str">
        <f t="shared" si="90"/>
        <v>✓ Match</v>
      </c>
      <c r="M645" s="24" t="str">
        <f t="shared" si="91"/>
        <v>CLEAN</v>
      </c>
    </row>
    <row r="646" spans="1:13" ht="15" customHeight="1" x14ac:dyDescent="0.35">
      <c r="A646" s="1" t="s">
        <v>124</v>
      </c>
      <c r="B646" s="2" t="s">
        <v>125</v>
      </c>
      <c r="C646" s="1" t="s">
        <v>68</v>
      </c>
      <c r="D646" s="1" t="s">
        <v>74</v>
      </c>
      <c r="E646" s="24" t="s">
        <v>19</v>
      </c>
      <c r="F646" s="1" t="s">
        <v>128</v>
      </c>
      <c r="G646" s="1" t="s">
        <v>107</v>
      </c>
      <c r="H646" s="3">
        <f t="shared" si="86"/>
        <v>8.75</v>
      </c>
      <c r="I646" s="24" t="str">
        <f t="shared" si="87"/>
        <v>Late</v>
      </c>
      <c r="J646" s="1" t="str">
        <f t="shared" si="88"/>
        <v>Full Day</v>
      </c>
      <c r="K646" s="1" t="str">
        <f t="shared" si="89"/>
        <v>Full Day</v>
      </c>
      <c r="L646" s="1" t="str">
        <f t="shared" si="90"/>
        <v>✓ Match</v>
      </c>
      <c r="M646" s="24" t="str">
        <f t="shared" si="91"/>
        <v>CLEAN</v>
      </c>
    </row>
    <row r="647" spans="1:13" ht="15" customHeight="1" x14ac:dyDescent="0.35">
      <c r="A647" s="1" t="s">
        <v>16</v>
      </c>
      <c r="B647" s="2" t="s">
        <v>17</v>
      </c>
      <c r="C647" s="1" t="s">
        <v>18</v>
      </c>
      <c r="D647" s="1" t="s">
        <v>74</v>
      </c>
      <c r="E647" s="24" t="s">
        <v>19</v>
      </c>
      <c r="F647" s="1" t="s">
        <v>20</v>
      </c>
      <c r="G647" s="1" t="s">
        <v>50</v>
      </c>
      <c r="H647" s="3">
        <f t="shared" si="86"/>
        <v>8.2500000000000018</v>
      </c>
      <c r="I647" s="24" t="str">
        <f t="shared" si="87"/>
        <v>On Time</v>
      </c>
      <c r="J647" s="1" t="str">
        <f t="shared" si="88"/>
        <v>Full Day</v>
      </c>
      <c r="K647" s="1" t="str">
        <f t="shared" si="89"/>
        <v>Full Day</v>
      </c>
      <c r="L647" s="1" t="str">
        <f t="shared" si="90"/>
        <v>✓ Match</v>
      </c>
      <c r="M647" s="24" t="str">
        <f t="shared" si="91"/>
        <v>CLEAN</v>
      </c>
    </row>
    <row r="648" spans="1:13" ht="15" customHeight="1" x14ac:dyDescent="0.35">
      <c r="A648" s="1" t="s">
        <v>66</v>
      </c>
      <c r="B648" s="2" t="s">
        <v>67</v>
      </c>
      <c r="C648" s="1" t="s">
        <v>68</v>
      </c>
      <c r="D648" s="1" t="s">
        <v>74</v>
      </c>
      <c r="E648" s="24" t="s">
        <v>19</v>
      </c>
      <c r="F648" s="1" t="s">
        <v>32</v>
      </c>
      <c r="G648" s="1" t="s">
        <v>21</v>
      </c>
      <c r="H648" s="3">
        <f t="shared" si="86"/>
        <v>11.333333333333334</v>
      </c>
      <c r="I648" s="24" t="str">
        <f t="shared" si="87"/>
        <v>On Time</v>
      </c>
      <c r="J648" s="1" t="str">
        <f t="shared" si="88"/>
        <v>Full Day</v>
      </c>
      <c r="K648" s="1" t="str">
        <f t="shared" si="89"/>
        <v>Full Day</v>
      </c>
      <c r="L648" s="1" t="str">
        <f t="shared" si="90"/>
        <v>✓ Match</v>
      </c>
      <c r="M648" s="24" t="str">
        <f t="shared" si="91"/>
        <v>CLEAN</v>
      </c>
    </row>
    <row r="649" spans="1:13" ht="15" customHeight="1" x14ac:dyDescent="0.35">
      <c r="A649" s="1" t="s">
        <v>76</v>
      </c>
      <c r="B649" s="2" t="s">
        <v>77</v>
      </c>
      <c r="C649" s="1" t="s">
        <v>68</v>
      </c>
      <c r="D649" s="1" t="s">
        <v>74</v>
      </c>
      <c r="E649" s="24" t="s">
        <v>37</v>
      </c>
      <c r="F649" s="1" t="s">
        <v>129</v>
      </c>
      <c r="G649" s="1" t="s">
        <v>154</v>
      </c>
      <c r="H649" s="3">
        <f t="shared" si="86"/>
        <v>7.3333333333333313</v>
      </c>
      <c r="I649" s="24" t="str">
        <f t="shared" si="87"/>
        <v>On Time</v>
      </c>
      <c r="J649" s="1" t="str">
        <f t="shared" si="88"/>
        <v>Half Day</v>
      </c>
      <c r="K649" s="1" t="str">
        <f t="shared" si="89"/>
        <v>Half Day</v>
      </c>
      <c r="L649" s="1" t="str">
        <f t="shared" si="90"/>
        <v>✓ Match</v>
      </c>
      <c r="M649" s="24" t="str">
        <f t="shared" si="91"/>
        <v>CLEAN</v>
      </c>
    </row>
    <row r="650" spans="1:13" ht="15" customHeight="1" x14ac:dyDescent="0.35">
      <c r="A650" s="1" t="s">
        <v>105</v>
      </c>
      <c r="B650" s="2" t="s">
        <v>106</v>
      </c>
      <c r="C650" s="1" t="s">
        <v>11</v>
      </c>
      <c r="D650" s="1" t="s">
        <v>74</v>
      </c>
      <c r="E650" s="24" t="s">
        <v>13</v>
      </c>
      <c r="F650" s="1" t="s">
        <v>14</v>
      </c>
      <c r="G650" s="1" t="s">
        <v>15</v>
      </c>
      <c r="H650" s="3">
        <v>0</v>
      </c>
      <c r="I650" s="24" t="str">
        <f t="shared" si="87"/>
        <v/>
      </c>
      <c r="J650" s="1" t="str">
        <f t="shared" si="88"/>
        <v>Absent</v>
      </c>
      <c r="K650" s="1" t="str">
        <f t="shared" si="89"/>
        <v>N/A</v>
      </c>
      <c r="L650" s="1" t="str">
        <f t="shared" si="90"/>
        <v>⚠ Mismatch</v>
      </c>
      <c r="M650" s="24" t="str">
        <f t="shared" si="91"/>
        <v>REVIEW</v>
      </c>
    </row>
    <row r="651" spans="1:13" ht="15" customHeight="1" x14ac:dyDescent="0.35">
      <c r="A651" s="1" t="s">
        <v>28</v>
      </c>
      <c r="B651" s="2" t="s">
        <v>29</v>
      </c>
      <c r="C651" s="1" t="s">
        <v>30</v>
      </c>
      <c r="D651" s="1" t="s">
        <v>74</v>
      </c>
      <c r="E651" s="24" t="s">
        <v>13</v>
      </c>
      <c r="F651" s="1" t="s">
        <v>14</v>
      </c>
      <c r="G651" s="1" t="s">
        <v>15</v>
      </c>
      <c r="H651" s="3">
        <v>0</v>
      </c>
      <c r="I651" s="24" t="str">
        <f t="shared" si="87"/>
        <v/>
      </c>
      <c r="J651" s="1" t="str">
        <f t="shared" si="88"/>
        <v>Absent</v>
      </c>
      <c r="K651" s="1" t="str">
        <f t="shared" si="89"/>
        <v>N/A</v>
      </c>
      <c r="L651" s="1" t="str">
        <f t="shared" si="90"/>
        <v>⚠ Mismatch</v>
      </c>
      <c r="M651" s="24" t="str">
        <f t="shared" si="91"/>
        <v>REVIEW</v>
      </c>
    </row>
    <row r="652" spans="1:13" ht="15" customHeight="1" x14ac:dyDescent="0.35">
      <c r="A652" s="1" t="s">
        <v>40</v>
      </c>
      <c r="B652" s="2" t="s">
        <v>41</v>
      </c>
      <c r="C652" s="1" t="s">
        <v>24</v>
      </c>
      <c r="D652" s="1" t="s">
        <v>74</v>
      </c>
      <c r="E652" s="24" t="s">
        <v>19</v>
      </c>
      <c r="F652" s="1" t="s">
        <v>122</v>
      </c>
      <c r="G652" s="1" t="s">
        <v>78</v>
      </c>
      <c r="H652" s="3">
        <f>IFERROR(MOD(TIMEVALUE(G652)-TIMEVALUE(F652),1)*24,0)</f>
        <v>8.4166666666666679</v>
      </c>
      <c r="I652" s="24" t="str">
        <f t="shared" si="87"/>
        <v>Late</v>
      </c>
      <c r="J652" s="1" t="str">
        <f t="shared" si="88"/>
        <v>Full Day</v>
      </c>
      <c r="K652" s="1" t="str">
        <f t="shared" si="89"/>
        <v>Full Day</v>
      </c>
      <c r="L652" s="1" t="str">
        <f t="shared" si="90"/>
        <v>✓ Match</v>
      </c>
      <c r="M652" s="24" t="str">
        <f t="shared" si="91"/>
        <v>CLEAN</v>
      </c>
    </row>
    <row r="653" spans="1:13" ht="15" customHeight="1" x14ac:dyDescent="0.35">
      <c r="A653" s="1" t="s">
        <v>142</v>
      </c>
      <c r="B653" s="2" t="s">
        <v>143</v>
      </c>
      <c r="C653" s="1" t="s">
        <v>18</v>
      </c>
      <c r="D653" s="1" t="s">
        <v>74</v>
      </c>
      <c r="E653" s="24" t="s">
        <v>37</v>
      </c>
      <c r="F653" s="1" t="s">
        <v>163</v>
      </c>
      <c r="G653" s="1" t="s">
        <v>144</v>
      </c>
      <c r="H653" s="3">
        <f>IFERROR(MOD(TIMEVALUE(G653)-TIMEVALUE(F653),1)*24,0)</f>
        <v>8.1666666666666661</v>
      </c>
      <c r="I653" s="24" t="str">
        <f t="shared" si="87"/>
        <v>On Time</v>
      </c>
      <c r="J653" s="1" t="str">
        <f t="shared" si="88"/>
        <v>Full Day</v>
      </c>
      <c r="K653" s="1" t="str">
        <f t="shared" si="89"/>
        <v>Full Day</v>
      </c>
      <c r="L653" s="1" t="str">
        <f t="shared" si="90"/>
        <v>✓ Match</v>
      </c>
      <c r="M653" s="24" t="str">
        <f t="shared" si="91"/>
        <v>CLEAN</v>
      </c>
    </row>
    <row r="654" spans="1:13" ht="15" customHeight="1" x14ac:dyDescent="0.35">
      <c r="A654" s="1" t="s">
        <v>47</v>
      </c>
      <c r="B654" s="2" t="s">
        <v>48</v>
      </c>
      <c r="C654" s="1" t="s">
        <v>18</v>
      </c>
      <c r="D654" s="1" t="s">
        <v>74</v>
      </c>
      <c r="E654" s="24" t="s">
        <v>19</v>
      </c>
      <c r="F654" s="1" t="s">
        <v>84</v>
      </c>
      <c r="G654" s="1" t="s">
        <v>50</v>
      </c>
      <c r="H654" s="3">
        <f>IFERROR(MOD(TIMEVALUE(G654)-TIMEVALUE(F654),1)*24,0)</f>
        <v>7.75</v>
      </c>
      <c r="I654" s="24" t="str">
        <f t="shared" si="87"/>
        <v>Late</v>
      </c>
      <c r="J654" s="1" t="str">
        <f t="shared" si="88"/>
        <v>Half Day</v>
      </c>
      <c r="K654" s="1" t="str">
        <f t="shared" si="89"/>
        <v>Half Day</v>
      </c>
      <c r="L654" s="1" t="str">
        <f t="shared" si="90"/>
        <v>✓ Match</v>
      </c>
      <c r="M654" s="24" t="str">
        <f t="shared" si="91"/>
        <v>CLEAN</v>
      </c>
    </row>
    <row r="655" spans="1:13" ht="15" customHeight="1" x14ac:dyDescent="0.35">
      <c r="A655" s="1" t="s">
        <v>98</v>
      </c>
      <c r="B655" s="2" t="s">
        <v>99</v>
      </c>
      <c r="C655" s="1" t="s">
        <v>18</v>
      </c>
      <c r="D655" s="1" t="s">
        <v>74</v>
      </c>
      <c r="E655" s="24" t="s">
        <v>13</v>
      </c>
      <c r="F655" s="1" t="s">
        <v>14</v>
      </c>
      <c r="G655" s="1" t="s">
        <v>15</v>
      </c>
      <c r="H655" s="3">
        <v>0</v>
      </c>
      <c r="I655" s="24" t="str">
        <f t="shared" si="87"/>
        <v/>
      </c>
      <c r="J655" s="1" t="str">
        <f t="shared" si="88"/>
        <v>Absent</v>
      </c>
      <c r="K655" s="1" t="str">
        <f t="shared" si="89"/>
        <v>N/A</v>
      </c>
      <c r="L655" s="1" t="str">
        <f t="shared" si="90"/>
        <v>⚠ Mismatch</v>
      </c>
      <c r="M655" s="24" t="str">
        <f t="shared" si="91"/>
        <v>REVIEW</v>
      </c>
    </row>
    <row r="656" spans="1:13" ht="15" customHeight="1" x14ac:dyDescent="0.35">
      <c r="A656" s="1" t="s">
        <v>150</v>
      </c>
      <c r="B656" s="2" t="s">
        <v>151</v>
      </c>
      <c r="C656" s="1" t="s">
        <v>68</v>
      </c>
      <c r="D656" s="1" t="s">
        <v>74</v>
      </c>
      <c r="E656" s="24" t="s">
        <v>19</v>
      </c>
      <c r="F656" s="1" t="s">
        <v>122</v>
      </c>
      <c r="G656" s="1" t="s">
        <v>71</v>
      </c>
      <c r="H656" s="3">
        <f t="shared" ref="H656:H664" si="92">IFERROR(MOD(TIMEVALUE(G656)-TIMEVALUE(F656),1)*24,0)</f>
        <v>10.416666666666666</v>
      </c>
      <c r="I656" s="24" t="str">
        <f t="shared" si="87"/>
        <v>Late</v>
      </c>
      <c r="J656" s="1" t="str">
        <f t="shared" si="88"/>
        <v>Full Day</v>
      </c>
      <c r="K656" s="1" t="str">
        <f t="shared" si="89"/>
        <v>Full Day</v>
      </c>
      <c r="L656" s="1" t="str">
        <f t="shared" si="90"/>
        <v>✓ Match</v>
      </c>
      <c r="M656" s="24" t="str">
        <f t="shared" si="91"/>
        <v>CLEAN</v>
      </c>
    </row>
    <row r="657" spans="1:13" ht="15" customHeight="1" x14ac:dyDescent="0.35">
      <c r="A657" s="1" t="s">
        <v>158</v>
      </c>
      <c r="B657" s="2" t="s">
        <v>159</v>
      </c>
      <c r="C657" s="1" t="s">
        <v>11</v>
      </c>
      <c r="D657" s="1" t="s">
        <v>74</v>
      </c>
      <c r="E657" s="24" t="s">
        <v>19</v>
      </c>
      <c r="F657" s="1" t="s">
        <v>64</v>
      </c>
      <c r="G657" s="1" t="s">
        <v>166</v>
      </c>
      <c r="H657" s="3">
        <f t="shared" si="92"/>
        <v>7.1666666666666652</v>
      </c>
      <c r="I657" s="24" t="str">
        <f t="shared" si="87"/>
        <v>On Time</v>
      </c>
      <c r="J657" s="1" t="str">
        <f t="shared" si="88"/>
        <v>Half Day</v>
      </c>
      <c r="K657" s="1" t="str">
        <f t="shared" si="89"/>
        <v>Half Day</v>
      </c>
      <c r="L657" s="1" t="str">
        <f t="shared" si="90"/>
        <v>✓ Match</v>
      </c>
      <c r="M657" s="24" t="str">
        <f t="shared" si="91"/>
        <v>CLEAN</v>
      </c>
    </row>
    <row r="658" spans="1:13" ht="15" customHeight="1" x14ac:dyDescent="0.35">
      <c r="A658" s="1" t="s">
        <v>91</v>
      </c>
      <c r="B658" s="2" t="s">
        <v>92</v>
      </c>
      <c r="C658" s="1" t="s">
        <v>18</v>
      </c>
      <c r="D658" s="1" t="s">
        <v>74</v>
      </c>
      <c r="E658" s="24" t="s">
        <v>37</v>
      </c>
      <c r="F658" s="1" t="s">
        <v>140</v>
      </c>
      <c r="G658" s="1" t="s">
        <v>153</v>
      </c>
      <c r="H658" s="3">
        <f t="shared" si="92"/>
        <v>10.583333333333332</v>
      </c>
      <c r="I658" s="24" t="str">
        <f t="shared" si="87"/>
        <v>Late</v>
      </c>
      <c r="J658" s="1" t="str">
        <f t="shared" si="88"/>
        <v>Full Day</v>
      </c>
      <c r="K658" s="1" t="str">
        <f t="shared" si="89"/>
        <v>Full Day</v>
      </c>
      <c r="L658" s="1" t="str">
        <f t="shared" si="90"/>
        <v>✓ Match</v>
      </c>
      <c r="M658" s="24" t="str">
        <f t="shared" si="91"/>
        <v>CLEAN</v>
      </c>
    </row>
    <row r="659" spans="1:13" ht="15" customHeight="1" x14ac:dyDescent="0.35">
      <c r="A659" s="1" t="s">
        <v>134</v>
      </c>
      <c r="B659" s="2" t="s">
        <v>135</v>
      </c>
      <c r="C659" s="1" t="s">
        <v>68</v>
      </c>
      <c r="D659" s="1" t="s">
        <v>74</v>
      </c>
      <c r="E659" s="24" t="s">
        <v>19</v>
      </c>
      <c r="F659" s="1" t="s">
        <v>140</v>
      </c>
      <c r="G659" s="1" t="s">
        <v>148</v>
      </c>
      <c r="H659" s="3">
        <f t="shared" si="92"/>
        <v>6.9999999999999991</v>
      </c>
      <c r="I659" s="24" t="str">
        <f t="shared" si="87"/>
        <v>Late</v>
      </c>
      <c r="J659" s="1" t="str">
        <f t="shared" si="88"/>
        <v>Half Day</v>
      </c>
      <c r="K659" s="1" t="str">
        <f t="shared" si="89"/>
        <v>Half Day</v>
      </c>
      <c r="L659" s="1" t="str">
        <f t="shared" si="90"/>
        <v>✓ Match</v>
      </c>
      <c r="M659" s="24" t="str">
        <f t="shared" si="91"/>
        <v>CLEAN</v>
      </c>
    </row>
    <row r="660" spans="1:13" ht="15" customHeight="1" x14ac:dyDescent="0.35">
      <c r="A660" s="1" t="s">
        <v>45</v>
      </c>
      <c r="B660" s="2" t="s">
        <v>46</v>
      </c>
      <c r="C660" s="1" t="s">
        <v>18</v>
      </c>
      <c r="D660" s="1" t="s">
        <v>74</v>
      </c>
      <c r="E660" s="24" t="s">
        <v>19</v>
      </c>
      <c r="F660" s="1" t="s">
        <v>93</v>
      </c>
      <c r="G660" s="1" t="s">
        <v>97</v>
      </c>
      <c r="H660" s="3">
        <f t="shared" si="92"/>
        <v>9.9166666666666661</v>
      </c>
      <c r="I660" s="24" t="str">
        <f t="shared" si="87"/>
        <v>Late</v>
      </c>
      <c r="J660" s="1" t="str">
        <f t="shared" si="88"/>
        <v>Full Day</v>
      </c>
      <c r="K660" s="1" t="str">
        <f t="shared" si="89"/>
        <v>Full Day</v>
      </c>
      <c r="L660" s="1" t="str">
        <f t="shared" si="90"/>
        <v>✓ Match</v>
      </c>
      <c r="M660" s="24" t="str">
        <f t="shared" si="91"/>
        <v>CLEAN</v>
      </c>
    </row>
    <row r="661" spans="1:13" ht="15" customHeight="1" x14ac:dyDescent="0.35">
      <c r="A661" s="1" t="s">
        <v>101</v>
      </c>
      <c r="B661" s="2" t="s">
        <v>102</v>
      </c>
      <c r="C661" s="1" t="s">
        <v>30</v>
      </c>
      <c r="D661" s="1" t="s">
        <v>74</v>
      </c>
      <c r="E661" s="24" t="s">
        <v>19</v>
      </c>
      <c r="F661" s="1" t="s">
        <v>152</v>
      </c>
      <c r="G661" s="1" t="s">
        <v>21</v>
      </c>
      <c r="H661" s="3">
        <f t="shared" si="92"/>
        <v>9</v>
      </c>
      <c r="I661" s="24" t="str">
        <f t="shared" si="87"/>
        <v>Late</v>
      </c>
      <c r="J661" s="1" t="str">
        <f t="shared" si="88"/>
        <v>Full Day</v>
      </c>
      <c r="K661" s="1" t="str">
        <f t="shared" si="89"/>
        <v>Full Day</v>
      </c>
      <c r="L661" s="1" t="str">
        <f t="shared" si="90"/>
        <v>✓ Match</v>
      </c>
      <c r="M661" s="24" t="str">
        <f t="shared" si="91"/>
        <v>CLEAN</v>
      </c>
    </row>
    <row r="662" spans="1:13" ht="15" customHeight="1" x14ac:dyDescent="0.35">
      <c r="A662" s="1" t="s">
        <v>82</v>
      </c>
      <c r="B662" s="2" t="s">
        <v>83</v>
      </c>
      <c r="C662" s="1" t="s">
        <v>68</v>
      </c>
      <c r="D662" s="1" t="s">
        <v>74</v>
      </c>
      <c r="E662" s="24" t="s">
        <v>19</v>
      </c>
      <c r="F662" s="1" t="s">
        <v>163</v>
      </c>
      <c r="G662" s="1" t="s">
        <v>65</v>
      </c>
      <c r="H662" s="3">
        <f t="shared" si="92"/>
        <v>9.6666666666666661</v>
      </c>
      <c r="I662" s="24" t="str">
        <f t="shared" si="87"/>
        <v>On Time</v>
      </c>
      <c r="J662" s="1" t="str">
        <f t="shared" si="88"/>
        <v>Full Day</v>
      </c>
      <c r="K662" s="1" t="str">
        <f t="shared" si="89"/>
        <v>Full Day</v>
      </c>
      <c r="L662" s="1" t="str">
        <f t="shared" si="90"/>
        <v>✓ Match</v>
      </c>
      <c r="M662" s="24" t="str">
        <f t="shared" si="91"/>
        <v>CLEAN</v>
      </c>
    </row>
    <row r="663" spans="1:13" ht="15" customHeight="1" x14ac:dyDescent="0.35">
      <c r="A663" s="1" t="s">
        <v>53</v>
      </c>
      <c r="B663" s="2" t="s">
        <v>54</v>
      </c>
      <c r="C663" s="1" t="s">
        <v>18</v>
      </c>
      <c r="D663" s="1" t="s">
        <v>55</v>
      </c>
      <c r="E663" s="24" t="s">
        <v>19</v>
      </c>
      <c r="F663" s="1" t="s">
        <v>56</v>
      </c>
      <c r="G663" s="1" t="s">
        <v>39</v>
      </c>
      <c r="H663" s="3">
        <f t="shared" si="92"/>
        <v>8.5</v>
      </c>
      <c r="I663" s="24" t="str">
        <f t="shared" si="87"/>
        <v>Late</v>
      </c>
      <c r="J663" s="1" t="str">
        <f t="shared" si="88"/>
        <v>Full Day</v>
      </c>
      <c r="K663" s="1" t="str">
        <f t="shared" si="89"/>
        <v>Full Day</v>
      </c>
      <c r="L663" s="1" t="str">
        <f t="shared" si="90"/>
        <v>✓ Match</v>
      </c>
      <c r="M663" s="24" t="str">
        <f t="shared" si="91"/>
        <v>CLEAN</v>
      </c>
    </row>
    <row r="664" spans="1:13" ht="15" customHeight="1" x14ac:dyDescent="0.35">
      <c r="A664" s="1" t="s">
        <v>105</v>
      </c>
      <c r="B664" s="2" t="s">
        <v>106</v>
      </c>
      <c r="C664" s="1" t="s">
        <v>11</v>
      </c>
      <c r="D664" s="1" t="s">
        <v>55</v>
      </c>
      <c r="E664" s="24" t="s">
        <v>19</v>
      </c>
      <c r="F664" s="1" t="s">
        <v>64</v>
      </c>
      <c r="G664" s="1" t="s">
        <v>107</v>
      </c>
      <c r="H664" s="3">
        <f t="shared" si="92"/>
        <v>10.166666666666664</v>
      </c>
      <c r="I664" s="24" t="str">
        <f t="shared" si="87"/>
        <v>On Time</v>
      </c>
      <c r="J664" s="1" t="str">
        <f t="shared" si="88"/>
        <v>Full Day</v>
      </c>
      <c r="K664" s="1" t="str">
        <f t="shared" si="89"/>
        <v>Full Day</v>
      </c>
      <c r="L664" s="1" t="str">
        <f t="shared" si="90"/>
        <v>✓ Match</v>
      </c>
      <c r="M664" s="24" t="str">
        <f t="shared" si="91"/>
        <v>CLEAN</v>
      </c>
    </row>
    <row r="665" spans="1:13" ht="15" customHeight="1" x14ac:dyDescent="0.35">
      <c r="A665" s="1" t="s">
        <v>150</v>
      </c>
      <c r="B665" s="2" t="s">
        <v>151</v>
      </c>
      <c r="C665" s="1" t="s">
        <v>68</v>
      </c>
      <c r="D665" s="1" t="s">
        <v>55</v>
      </c>
      <c r="E665" s="24" t="s">
        <v>13</v>
      </c>
      <c r="F665" s="1" t="s">
        <v>14</v>
      </c>
      <c r="G665" s="1" t="s">
        <v>15</v>
      </c>
      <c r="H665" s="3">
        <v>0</v>
      </c>
      <c r="I665" s="24" t="str">
        <f t="shared" si="87"/>
        <v/>
      </c>
      <c r="J665" s="1" t="str">
        <f t="shared" si="88"/>
        <v>Absent</v>
      </c>
      <c r="K665" s="1" t="str">
        <f t="shared" si="89"/>
        <v>N/A</v>
      </c>
      <c r="L665" s="1" t="str">
        <f t="shared" si="90"/>
        <v>⚠ Mismatch</v>
      </c>
      <c r="M665" s="24" t="str">
        <f t="shared" si="91"/>
        <v>REVIEW</v>
      </c>
    </row>
    <row r="666" spans="1:13" ht="15" customHeight="1" x14ac:dyDescent="0.35">
      <c r="A666" s="1" t="s">
        <v>112</v>
      </c>
      <c r="B666" s="2" t="s">
        <v>113</v>
      </c>
      <c r="C666" s="1" t="s">
        <v>30</v>
      </c>
      <c r="D666" s="1" t="s">
        <v>55</v>
      </c>
      <c r="E666" s="24" t="s">
        <v>13</v>
      </c>
      <c r="F666" s="1" t="s">
        <v>14</v>
      </c>
      <c r="G666" s="1" t="s">
        <v>15</v>
      </c>
      <c r="H666" s="3">
        <v>0</v>
      </c>
      <c r="I666" s="24" t="str">
        <f t="shared" si="87"/>
        <v/>
      </c>
      <c r="J666" s="1" t="str">
        <f t="shared" si="88"/>
        <v>Absent</v>
      </c>
      <c r="K666" s="1" t="str">
        <f t="shared" si="89"/>
        <v>N/A</v>
      </c>
      <c r="L666" s="1" t="str">
        <f t="shared" si="90"/>
        <v>⚠ Mismatch</v>
      </c>
      <c r="M666" s="24" t="str">
        <f t="shared" si="91"/>
        <v>REVIEW</v>
      </c>
    </row>
    <row r="667" spans="1:13" ht="15" customHeight="1" x14ac:dyDescent="0.35">
      <c r="A667" s="1" t="s">
        <v>57</v>
      </c>
      <c r="B667" s="2" t="s">
        <v>58</v>
      </c>
      <c r="C667" s="1" t="s">
        <v>30</v>
      </c>
      <c r="D667" s="1" t="s">
        <v>55</v>
      </c>
      <c r="E667" s="24" t="s">
        <v>19</v>
      </c>
      <c r="F667" s="1" t="s">
        <v>75</v>
      </c>
      <c r="G667" s="1" t="s">
        <v>161</v>
      </c>
      <c r="H667" s="3">
        <f t="shared" ref="H667:H676" si="93">IFERROR(MOD(TIMEVALUE(G667)-TIMEVALUE(F667),1)*24,0)</f>
        <v>9.9166666666666679</v>
      </c>
      <c r="I667" s="24" t="str">
        <f t="shared" si="87"/>
        <v>On Time</v>
      </c>
      <c r="J667" s="1" t="str">
        <f t="shared" si="88"/>
        <v>Full Day</v>
      </c>
      <c r="K667" s="1" t="str">
        <f t="shared" si="89"/>
        <v>Full Day</v>
      </c>
      <c r="L667" s="1" t="str">
        <f t="shared" si="90"/>
        <v>✓ Match</v>
      </c>
      <c r="M667" s="24" t="str">
        <f t="shared" si="91"/>
        <v>CLEAN</v>
      </c>
    </row>
    <row r="668" spans="1:13" ht="15" customHeight="1" x14ac:dyDescent="0.35">
      <c r="A668" s="1" t="s">
        <v>47</v>
      </c>
      <c r="B668" s="2" t="s">
        <v>48</v>
      </c>
      <c r="C668" s="1" t="s">
        <v>18</v>
      </c>
      <c r="D668" s="1" t="s">
        <v>55</v>
      </c>
      <c r="E668" s="24" t="s">
        <v>19</v>
      </c>
      <c r="F668" s="1" t="s">
        <v>122</v>
      </c>
      <c r="G668" s="1" t="s">
        <v>60</v>
      </c>
      <c r="H668" s="3">
        <f t="shared" si="93"/>
        <v>9.6666666666666661</v>
      </c>
      <c r="I668" s="24" t="str">
        <f t="shared" si="87"/>
        <v>Late</v>
      </c>
      <c r="J668" s="1" t="str">
        <f t="shared" si="88"/>
        <v>Full Day</v>
      </c>
      <c r="K668" s="1" t="str">
        <f t="shared" si="89"/>
        <v>Full Day</v>
      </c>
      <c r="L668" s="1" t="str">
        <f t="shared" si="90"/>
        <v>✓ Match</v>
      </c>
      <c r="M668" s="24" t="str">
        <f t="shared" si="91"/>
        <v>CLEAN</v>
      </c>
    </row>
    <row r="669" spans="1:13" ht="15" customHeight="1" x14ac:dyDescent="0.35">
      <c r="A669" s="1" t="s">
        <v>66</v>
      </c>
      <c r="B669" s="2" t="s">
        <v>67</v>
      </c>
      <c r="C669" s="1" t="s">
        <v>68</v>
      </c>
      <c r="D669" s="1" t="s">
        <v>55</v>
      </c>
      <c r="E669" s="24" t="s">
        <v>19</v>
      </c>
      <c r="F669" s="1" t="s">
        <v>140</v>
      </c>
      <c r="G669" s="1" t="s">
        <v>127</v>
      </c>
      <c r="H669" s="3">
        <f t="shared" si="93"/>
        <v>8.5833333333333321</v>
      </c>
      <c r="I669" s="24" t="str">
        <f t="shared" si="87"/>
        <v>Late</v>
      </c>
      <c r="J669" s="1" t="str">
        <f t="shared" si="88"/>
        <v>Full Day</v>
      </c>
      <c r="K669" s="1" t="str">
        <f t="shared" si="89"/>
        <v>Full Day</v>
      </c>
      <c r="L669" s="1" t="str">
        <f t="shared" si="90"/>
        <v>✓ Match</v>
      </c>
      <c r="M669" s="24" t="str">
        <f t="shared" si="91"/>
        <v>CLEAN</v>
      </c>
    </row>
    <row r="670" spans="1:13" ht="15" customHeight="1" x14ac:dyDescent="0.35">
      <c r="A670" s="1" t="s">
        <v>76</v>
      </c>
      <c r="B670" s="2" t="s">
        <v>77</v>
      </c>
      <c r="C670" s="1" t="s">
        <v>68</v>
      </c>
      <c r="D670" s="1" t="s">
        <v>55</v>
      </c>
      <c r="E670" s="24" t="s">
        <v>37</v>
      </c>
      <c r="F670" s="1" t="s">
        <v>26</v>
      </c>
      <c r="G670" s="1" t="s">
        <v>108</v>
      </c>
      <c r="H670" s="3">
        <f t="shared" si="93"/>
        <v>10.416666666666666</v>
      </c>
      <c r="I670" s="24" t="str">
        <f t="shared" si="87"/>
        <v>Late</v>
      </c>
      <c r="J670" s="1" t="str">
        <f t="shared" si="88"/>
        <v>Full Day</v>
      </c>
      <c r="K670" s="1" t="str">
        <f t="shared" si="89"/>
        <v>Full Day</v>
      </c>
      <c r="L670" s="1" t="str">
        <f t="shared" si="90"/>
        <v>✓ Match</v>
      </c>
      <c r="M670" s="24" t="str">
        <f t="shared" si="91"/>
        <v>CLEAN</v>
      </c>
    </row>
    <row r="671" spans="1:13" ht="15" customHeight="1" x14ac:dyDescent="0.35">
      <c r="A671" s="1" t="s">
        <v>91</v>
      </c>
      <c r="B671" s="2" t="s">
        <v>92</v>
      </c>
      <c r="C671" s="1" t="s">
        <v>18</v>
      </c>
      <c r="D671" s="1" t="s">
        <v>55</v>
      </c>
      <c r="E671" s="24" t="s">
        <v>19</v>
      </c>
      <c r="F671" s="1" t="s">
        <v>43</v>
      </c>
      <c r="G671" s="1" t="s">
        <v>154</v>
      </c>
      <c r="H671" s="3">
        <f t="shared" si="93"/>
        <v>7.8333333333333304</v>
      </c>
      <c r="I671" s="24" t="str">
        <f t="shared" si="87"/>
        <v>On Time</v>
      </c>
      <c r="J671" s="1" t="str">
        <f t="shared" si="88"/>
        <v>Half Day</v>
      </c>
      <c r="K671" s="1" t="str">
        <f t="shared" si="89"/>
        <v>Half Day</v>
      </c>
      <c r="L671" s="1" t="str">
        <f t="shared" si="90"/>
        <v>✓ Match</v>
      </c>
      <c r="M671" s="24" t="str">
        <f t="shared" si="91"/>
        <v>CLEAN</v>
      </c>
    </row>
    <row r="672" spans="1:13" ht="15" customHeight="1" x14ac:dyDescent="0.35">
      <c r="A672" s="1" t="s">
        <v>98</v>
      </c>
      <c r="B672" s="2" t="s">
        <v>99</v>
      </c>
      <c r="C672" s="1" t="s">
        <v>18</v>
      </c>
      <c r="D672" s="1" t="s">
        <v>55</v>
      </c>
      <c r="E672" s="24" t="s">
        <v>19</v>
      </c>
      <c r="F672" s="1" t="s">
        <v>64</v>
      </c>
      <c r="G672" s="1" t="s">
        <v>166</v>
      </c>
      <c r="H672" s="3">
        <f t="shared" si="93"/>
        <v>7.1666666666666652</v>
      </c>
      <c r="I672" s="24" t="str">
        <f t="shared" si="87"/>
        <v>On Time</v>
      </c>
      <c r="J672" s="1" t="str">
        <f t="shared" si="88"/>
        <v>Half Day</v>
      </c>
      <c r="K672" s="1" t="str">
        <f t="shared" si="89"/>
        <v>Half Day</v>
      </c>
      <c r="L672" s="1" t="str">
        <f t="shared" si="90"/>
        <v>✓ Match</v>
      </c>
      <c r="M672" s="24" t="str">
        <f t="shared" si="91"/>
        <v>CLEAN</v>
      </c>
    </row>
    <row r="673" spans="1:13" ht="15" customHeight="1" x14ac:dyDescent="0.35">
      <c r="A673" s="1" t="s">
        <v>9</v>
      </c>
      <c r="B673" s="2" t="s">
        <v>10</v>
      </c>
      <c r="C673" s="1" t="s">
        <v>11</v>
      </c>
      <c r="D673" s="1" t="s">
        <v>55</v>
      </c>
      <c r="E673" s="24" t="s">
        <v>19</v>
      </c>
      <c r="F673" s="1" t="s">
        <v>140</v>
      </c>
      <c r="G673" s="1" t="s">
        <v>97</v>
      </c>
      <c r="H673" s="3">
        <f t="shared" si="93"/>
        <v>10.5</v>
      </c>
      <c r="I673" s="24" t="str">
        <f t="shared" si="87"/>
        <v>Late</v>
      </c>
      <c r="J673" s="1" t="str">
        <f t="shared" si="88"/>
        <v>Full Day</v>
      </c>
      <c r="K673" s="1" t="str">
        <f t="shared" si="89"/>
        <v>Full Day</v>
      </c>
      <c r="L673" s="1" t="str">
        <f t="shared" si="90"/>
        <v>✓ Match</v>
      </c>
      <c r="M673" s="24" t="str">
        <f t="shared" si="91"/>
        <v>CLEAN</v>
      </c>
    </row>
    <row r="674" spans="1:13" ht="15" customHeight="1" x14ac:dyDescent="0.35">
      <c r="A674" s="1" t="s">
        <v>22</v>
      </c>
      <c r="B674" s="2" t="s">
        <v>23</v>
      </c>
      <c r="C674" s="1" t="s">
        <v>24</v>
      </c>
      <c r="D674" s="1" t="s">
        <v>55</v>
      </c>
      <c r="E674" s="24" t="s">
        <v>19</v>
      </c>
      <c r="F674" s="1" t="s">
        <v>137</v>
      </c>
      <c r="G674" s="1" t="s">
        <v>107</v>
      </c>
      <c r="H674" s="3">
        <f t="shared" si="93"/>
        <v>9.1666666666666643</v>
      </c>
      <c r="I674" s="24" t="str">
        <f t="shared" si="87"/>
        <v>Late</v>
      </c>
      <c r="J674" s="1" t="str">
        <f t="shared" si="88"/>
        <v>Full Day</v>
      </c>
      <c r="K674" s="1" t="str">
        <f t="shared" si="89"/>
        <v>Full Day</v>
      </c>
      <c r="L674" s="1" t="str">
        <f t="shared" si="90"/>
        <v>✓ Match</v>
      </c>
      <c r="M674" s="24" t="str">
        <f t="shared" si="91"/>
        <v>CLEAN</v>
      </c>
    </row>
    <row r="675" spans="1:13" ht="15" customHeight="1" x14ac:dyDescent="0.35">
      <c r="A675" s="1" t="s">
        <v>61</v>
      </c>
      <c r="B675" s="2" t="s">
        <v>62</v>
      </c>
      <c r="C675" s="1" t="s">
        <v>11</v>
      </c>
      <c r="D675" s="1" t="s">
        <v>55</v>
      </c>
      <c r="E675" s="24" t="s">
        <v>19</v>
      </c>
      <c r="F675" s="1" t="s">
        <v>160</v>
      </c>
      <c r="G675" s="1" t="s">
        <v>44</v>
      </c>
      <c r="H675" s="3">
        <f t="shared" si="93"/>
        <v>7</v>
      </c>
      <c r="I675" s="24" t="str">
        <f t="shared" si="87"/>
        <v>Late</v>
      </c>
      <c r="J675" s="1" t="str">
        <f t="shared" si="88"/>
        <v>Half Day</v>
      </c>
      <c r="K675" s="1" t="str">
        <f t="shared" si="89"/>
        <v>Half Day</v>
      </c>
      <c r="L675" s="1" t="str">
        <f t="shared" si="90"/>
        <v>✓ Match</v>
      </c>
      <c r="M675" s="24" t="str">
        <f t="shared" si="91"/>
        <v>CLEAN</v>
      </c>
    </row>
    <row r="676" spans="1:13" ht="15" customHeight="1" x14ac:dyDescent="0.35">
      <c r="A676" s="1" t="s">
        <v>72</v>
      </c>
      <c r="B676" s="2" t="s">
        <v>73</v>
      </c>
      <c r="C676" s="1" t="s">
        <v>68</v>
      </c>
      <c r="D676" s="1" t="s">
        <v>55</v>
      </c>
      <c r="E676" s="24" t="s">
        <v>19</v>
      </c>
      <c r="F676" s="1" t="s">
        <v>43</v>
      </c>
      <c r="G676" s="1" t="s">
        <v>123</v>
      </c>
      <c r="H676" s="3">
        <f t="shared" si="93"/>
        <v>11.666666666666666</v>
      </c>
      <c r="I676" s="24" t="str">
        <f t="shared" si="87"/>
        <v>On Time</v>
      </c>
      <c r="J676" s="1" t="str">
        <f t="shared" si="88"/>
        <v>Full Day</v>
      </c>
      <c r="K676" s="1" t="str">
        <f t="shared" si="89"/>
        <v>Full Day</v>
      </c>
      <c r="L676" s="1" t="str">
        <f t="shared" si="90"/>
        <v>✓ Match</v>
      </c>
      <c r="M676" s="24" t="str">
        <f t="shared" si="91"/>
        <v>CLEAN</v>
      </c>
    </row>
    <row r="677" spans="1:13" ht="15" customHeight="1" x14ac:dyDescent="0.35">
      <c r="A677" s="1" t="s">
        <v>110</v>
      </c>
      <c r="B677" s="2" t="s">
        <v>111</v>
      </c>
      <c r="C677" s="1" t="s">
        <v>68</v>
      </c>
      <c r="D677" s="1" t="s">
        <v>55</v>
      </c>
      <c r="E677" s="24" t="s">
        <v>13</v>
      </c>
      <c r="F677" s="1" t="s">
        <v>14</v>
      </c>
      <c r="G677" s="1" t="s">
        <v>15</v>
      </c>
      <c r="H677" s="3">
        <v>0</v>
      </c>
      <c r="I677" s="24" t="str">
        <f t="shared" si="87"/>
        <v/>
      </c>
      <c r="J677" s="1" t="str">
        <f t="shared" si="88"/>
        <v>Absent</v>
      </c>
      <c r="K677" s="1" t="str">
        <f t="shared" si="89"/>
        <v>N/A</v>
      </c>
      <c r="L677" s="1" t="str">
        <f t="shared" si="90"/>
        <v>⚠ Mismatch</v>
      </c>
      <c r="M677" s="24" t="str">
        <f t="shared" si="91"/>
        <v>REVIEW</v>
      </c>
    </row>
    <row r="678" spans="1:13" ht="15" customHeight="1" x14ac:dyDescent="0.35">
      <c r="A678" s="1" t="s">
        <v>130</v>
      </c>
      <c r="B678" s="2" t="s">
        <v>131</v>
      </c>
      <c r="C678" s="1" t="s">
        <v>11</v>
      </c>
      <c r="D678" s="1" t="s">
        <v>55</v>
      </c>
      <c r="E678" s="24" t="s">
        <v>19</v>
      </c>
      <c r="F678" s="1" t="s">
        <v>129</v>
      </c>
      <c r="G678" s="1" t="s">
        <v>108</v>
      </c>
      <c r="H678" s="3">
        <f>IFERROR(MOD(TIMEVALUE(G678)-TIMEVALUE(F678),1)*24,0)</f>
        <v>11.5</v>
      </c>
      <c r="I678" s="24" t="str">
        <f t="shared" si="87"/>
        <v>On Time</v>
      </c>
      <c r="J678" s="1" t="str">
        <f t="shared" si="88"/>
        <v>Full Day</v>
      </c>
      <c r="K678" s="1" t="str">
        <f t="shared" si="89"/>
        <v>Full Day</v>
      </c>
      <c r="L678" s="1" t="str">
        <f t="shared" si="90"/>
        <v>✓ Match</v>
      </c>
      <c r="M678" s="24" t="str">
        <f t="shared" si="91"/>
        <v>CLEAN</v>
      </c>
    </row>
    <row r="679" spans="1:13" ht="15" customHeight="1" x14ac:dyDescent="0.35">
      <c r="A679" s="1" t="s">
        <v>120</v>
      </c>
      <c r="B679" s="2" t="s">
        <v>121</v>
      </c>
      <c r="C679" s="1" t="s">
        <v>11</v>
      </c>
      <c r="D679" s="1" t="s">
        <v>55</v>
      </c>
      <c r="E679" s="24" t="s">
        <v>37</v>
      </c>
      <c r="F679" s="1" t="s">
        <v>56</v>
      </c>
      <c r="G679" s="1" t="s">
        <v>108</v>
      </c>
      <c r="H679" s="3">
        <f>IFERROR(MOD(TIMEVALUE(G679)-TIMEVALUE(F679),1)*24,0)</f>
        <v>10.25</v>
      </c>
      <c r="I679" s="24" t="str">
        <f t="shared" si="87"/>
        <v>Late</v>
      </c>
      <c r="J679" s="1" t="str">
        <f t="shared" si="88"/>
        <v>Full Day</v>
      </c>
      <c r="K679" s="1" t="str">
        <f t="shared" si="89"/>
        <v>Full Day</v>
      </c>
      <c r="L679" s="1" t="str">
        <f t="shared" si="90"/>
        <v>✓ Match</v>
      </c>
      <c r="M679" s="24" t="str">
        <f t="shared" si="91"/>
        <v>CLEAN</v>
      </c>
    </row>
    <row r="680" spans="1:13" ht="15" customHeight="1" x14ac:dyDescent="0.35">
      <c r="A680" s="1" t="s">
        <v>45</v>
      </c>
      <c r="B680" s="2" t="s">
        <v>46</v>
      </c>
      <c r="C680" s="1" t="s">
        <v>18</v>
      </c>
      <c r="D680" s="1" t="s">
        <v>55</v>
      </c>
      <c r="E680" s="24" t="s">
        <v>19</v>
      </c>
      <c r="F680" s="1" t="s">
        <v>32</v>
      </c>
      <c r="G680" s="1" t="s">
        <v>162</v>
      </c>
      <c r="H680" s="3">
        <f>IFERROR(MOD(TIMEVALUE(G680)-TIMEVALUE(F680),1)*24,0)</f>
        <v>7.1666666666666696</v>
      </c>
      <c r="I680" s="24" t="str">
        <f t="shared" si="87"/>
        <v>On Time</v>
      </c>
      <c r="J680" s="1" t="str">
        <f t="shared" si="88"/>
        <v>Half Day</v>
      </c>
      <c r="K680" s="1" t="str">
        <f t="shared" si="89"/>
        <v>Half Day</v>
      </c>
      <c r="L680" s="1" t="str">
        <f t="shared" si="90"/>
        <v>✓ Match</v>
      </c>
      <c r="M680" s="24" t="str">
        <f t="shared" si="91"/>
        <v>CLEAN</v>
      </c>
    </row>
    <row r="681" spans="1:13" ht="15" customHeight="1" x14ac:dyDescent="0.35">
      <c r="A681" s="1" t="s">
        <v>124</v>
      </c>
      <c r="B681" s="2" t="s">
        <v>125</v>
      </c>
      <c r="C681" s="1" t="s">
        <v>68</v>
      </c>
      <c r="D681" s="1" t="s">
        <v>55</v>
      </c>
      <c r="E681" s="24" t="s">
        <v>13</v>
      </c>
      <c r="F681" s="1" t="s">
        <v>14</v>
      </c>
      <c r="G681" s="1" t="s">
        <v>15</v>
      </c>
      <c r="H681" s="3">
        <v>0</v>
      </c>
      <c r="I681" s="24" t="str">
        <f t="shared" si="87"/>
        <v/>
      </c>
      <c r="J681" s="1" t="str">
        <f t="shared" si="88"/>
        <v>Absent</v>
      </c>
      <c r="K681" s="1" t="str">
        <f t="shared" si="89"/>
        <v>N/A</v>
      </c>
      <c r="L681" s="1" t="str">
        <f t="shared" si="90"/>
        <v>⚠ Mismatch</v>
      </c>
      <c r="M681" s="24" t="str">
        <f t="shared" si="91"/>
        <v>REVIEW</v>
      </c>
    </row>
    <row r="682" spans="1:13" ht="15" customHeight="1" x14ac:dyDescent="0.35">
      <c r="A682" s="1" t="s">
        <v>142</v>
      </c>
      <c r="B682" s="2" t="s">
        <v>143</v>
      </c>
      <c r="C682" s="1" t="s">
        <v>18</v>
      </c>
      <c r="D682" s="1" t="s">
        <v>55</v>
      </c>
      <c r="E682" s="24" t="s">
        <v>19</v>
      </c>
      <c r="F682" s="1" t="s">
        <v>167</v>
      </c>
      <c r="G682" s="1" t="s">
        <v>27</v>
      </c>
      <c r="H682" s="3">
        <f>IFERROR(MOD(TIMEVALUE(G682)-TIMEVALUE(F682),1)*24,0)</f>
        <v>9.5833333333333357</v>
      </c>
      <c r="I682" s="24" t="str">
        <f t="shared" si="87"/>
        <v>Late</v>
      </c>
      <c r="J682" s="1" t="str">
        <f t="shared" si="88"/>
        <v>Full Day</v>
      </c>
      <c r="K682" s="1" t="str">
        <f t="shared" si="89"/>
        <v>Full Day</v>
      </c>
      <c r="L682" s="1" t="str">
        <f t="shared" si="90"/>
        <v>✓ Match</v>
      </c>
      <c r="M682" s="24" t="str">
        <f t="shared" si="91"/>
        <v>CLEAN</v>
      </c>
    </row>
    <row r="683" spans="1:13" ht="15" customHeight="1" x14ac:dyDescent="0.35">
      <c r="A683" s="1" t="s">
        <v>134</v>
      </c>
      <c r="B683" s="2" t="s">
        <v>135</v>
      </c>
      <c r="C683" s="1" t="s">
        <v>68</v>
      </c>
      <c r="D683" s="1" t="s">
        <v>55</v>
      </c>
      <c r="E683" s="24" t="s">
        <v>19</v>
      </c>
      <c r="F683" s="1" t="s">
        <v>140</v>
      </c>
      <c r="G683" s="1" t="s">
        <v>148</v>
      </c>
      <c r="H683" s="3">
        <f>IFERROR(MOD(TIMEVALUE(G683)-TIMEVALUE(F683),1)*24,0)</f>
        <v>6.9999999999999991</v>
      </c>
      <c r="I683" s="24" t="str">
        <f t="shared" si="87"/>
        <v>Late</v>
      </c>
      <c r="J683" s="1" t="str">
        <f t="shared" si="88"/>
        <v>Half Day</v>
      </c>
      <c r="K683" s="1" t="str">
        <f t="shared" si="89"/>
        <v>Half Day</v>
      </c>
      <c r="L683" s="1" t="str">
        <f t="shared" si="90"/>
        <v>✓ Match</v>
      </c>
      <c r="M683" s="24" t="str">
        <f t="shared" si="91"/>
        <v>CLEAN</v>
      </c>
    </row>
    <row r="684" spans="1:13" ht="15" customHeight="1" x14ac:dyDescent="0.35">
      <c r="A684" s="1" t="s">
        <v>40</v>
      </c>
      <c r="B684" s="2" t="s">
        <v>41</v>
      </c>
      <c r="C684" s="1" t="s">
        <v>24</v>
      </c>
      <c r="D684" s="1" t="s">
        <v>55</v>
      </c>
      <c r="E684" s="24" t="s">
        <v>13</v>
      </c>
      <c r="F684" s="1" t="s">
        <v>14</v>
      </c>
      <c r="G684" s="1" t="s">
        <v>15</v>
      </c>
      <c r="H684" s="3">
        <v>0</v>
      </c>
      <c r="I684" s="24" t="str">
        <f t="shared" si="87"/>
        <v/>
      </c>
      <c r="J684" s="1" t="str">
        <f t="shared" si="88"/>
        <v>Absent</v>
      </c>
      <c r="K684" s="1" t="str">
        <f t="shared" si="89"/>
        <v>N/A</v>
      </c>
      <c r="L684" s="1" t="str">
        <f t="shared" si="90"/>
        <v>⚠ Mismatch</v>
      </c>
      <c r="M684" s="24" t="str">
        <f t="shared" si="91"/>
        <v>REVIEW</v>
      </c>
    </row>
    <row r="685" spans="1:13" ht="15" customHeight="1" x14ac:dyDescent="0.35">
      <c r="A685" s="1" t="s">
        <v>16</v>
      </c>
      <c r="B685" s="2" t="s">
        <v>17</v>
      </c>
      <c r="C685" s="1" t="s">
        <v>18</v>
      </c>
      <c r="D685" s="1" t="s">
        <v>55</v>
      </c>
      <c r="E685" s="24" t="s">
        <v>19</v>
      </c>
      <c r="F685" s="1" t="s">
        <v>70</v>
      </c>
      <c r="G685" s="1" t="s">
        <v>108</v>
      </c>
      <c r="H685" s="3">
        <f>IFERROR(MOD(TIMEVALUE(G685)-TIMEVALUE(F685),1)*24,0)</f>
        <v>9.7499999999999982</v>
      </c>
      <c r="I685" s="24" t="str">
        <f t="shared" si="87"/>
        <v>Late</v>
      </c>
      <c r="J685" s="1" t="str">
        <f t="shared" si="88"/>
        <v>Full Day</v>
      </c>
      <c r="K685" s="1" t="str">
        <f t="shared" si="89"/>
        <v>Full Day</v>
      </c>
      <c r="L685" s="1" t="str">
        <f t="shared" si="90"/>
        <v>✓ Match</v>
      </c>
      <c r="M685" s="24" t="str">
        <f t="shared" si="91"/>
        <v>CLEAN</v>
      </c>
    </row>
    <row r="686" spans="1:13" ht="15" customHeight="1" x14ac:dyDescent="0.35">
      <c r="A686" s="1" t="s">
        <v>28</v>
      </c>
      <c r="B686" s="2" t="s">
        <v>29</v>
      </c>
      <c r="C686" s="1" t="s">
        <v>30</v>
      </c>
      <c r="D686" s="1" t="s">
        <v>55</v>
      </c>
      <c r="E686" s="24" t="s">
        <v>13</v>
      </c>
      <c r="F686" s="1" t="s">
        <v>14</v>
      </c>
      <c r="G686" s="1" t="s">
        <v>15</v>
      </c>
      <c r="H686" s="3">
        <v>0</v>
      </c>
      <c r="I686" s="24" t="str">
        <f t="shared" si="87"/>
        <v/>
      </c>
      <c r="J686" s="1" t="str">
        <f t="shared" si="88"/>
        <v>Absent</v>
      </c>
      <c r="K686" s="1" t="str">
        <f t="shared" si="89"/>
        <v>N/A</v>
      </c>
      <c r="L686" s="1" t="str">
        <f t="shared" si="90"/>
        <v>⚠ Mismatch</v>
      </c>
      <c r="M686" s="24" t="str">
        <f t="shared" si="91"/>
        <v>REVIEW</v>
      </c>
    </row>
    <row r="687" spans="1:13" ht="15" customHeight="1" x14ac:dyDescent="0.35">
      <c r="A687" s="1" t="s">
        <v>101</v>
      </c>
      <c r="B687" s="2" t="s">
        <v>102</v>
      </c>
      <c r="C687" s="1" t="s">
        <v>30</v>
      </c>
      <c r="D687" s="1" t="s">
        <v>55</v>
      </c>
      <c r="E687" s="24" t="s">
        <v>19</v>
      </c>
      <c r="F687" s="1" t="s">
        <v>129</v>
      </c>
      <c r="G687" s="1" t="s">
        <v>107</v>
      </c>
      <c r="H687" s="3">
        <f>IFERROR(MOD(TIMEVALUE(G687)-TIMEVALUE(F687),1)*24,0)</f>
        <v>9.25</v>
      </c>
      <c r="I687" s="24" t="str">
        <f t="shared" si="87"/>
        <v>On Time</v>
      </c>
      <c r="J687" s="1" t="str">
        <f t="shared" si="88"/>
        <v>Full Day</v>
      </c>
      <c r="K687" s="1" t="str">
        <f t="shared" si="89"/>
        <v>Full Day</v>
      </c>
      <c r="L687" s="1" t="str">
        <f t="shared" si="90"/>
        <v>✓ Match</v>
      </c>
      <c r="M687" s="24" t="str">
        <f t="shared" si="91"/>
        <v>CLEAN</v>
      </c>
    </row>
    <row r="688" spans="1:13" ht="15" customHeight="1" x14ac:dyDescent="0.35">
      <c r="A688" s="1" t="s">
        <v>82</v>
      </c>
      <c r="B688" s="2" t="s">
        <v>83</v>
      </c>
      <c r="C688" s="1" t="s">
        <v>68</v>
      </c>
      <c r="D688" s="1" t="s">
        <v>55</v>
      </c>
      <c r="E688" s="24" t="s">
        <v>19</v>
      </c>
      <c r="F688" s="1" t="s">
        <v>100</v>
      </c>
      <c r="G688" s="1" t="s">
        <v>147</v>
      </c>
      <c r="H688" s="3">
        <f>IFERROR(MOD(TIMEVALUE(G688)-TIMEVALUE(F688),1)*24,0)</f>
        <v>9.3333333333333339</v>
      </c>
      <c r="I688" s="24" t="str">
        <f t="shared" si="87"/>
        <v>On Time</v>
      </c>
      <c r="J688" s="1" t="str">
        <f t="shared" si="88"/>
        <v>Full Day</v>
      </c>
      <c r="K688" s="1" t="str">
        <f t="shared" si="89"/>
        <v>Full Day</v>
      </c>
      <c r="L688" s="1" t="str">
        <f t="shared" si="90"/>
        <v>✓ Match</v>
      </c>
      <c r="M688" s="24" t="str">
        <f t="shared" si="91"/>
        <v>CLEAN</v>
      </c>
    </row>
    <row r="689" spans="1:13" ht="15" customHeight="1" x14ac:dyDescent="0.35">
      <c r="A689" s="1" t="s">
        <v>79</v>
      </c>
      <c r="B689" s="2" t="s">
        <v>80</v>
      </c>
      <c r="C689" s="1" t="s">
        <v>18</v>
      </c>
      <c r="D689" s="1" t="s">
        <v>55</v>
      </c>
      <c r="E689" s="24" t="s">
        <v>19</v>
      </c>
      <c r="F689" s="1" t="s">
        <v>122</v>
      </c>
      <c r="G689" s="1" t="s">
        <v>94</v>
      </c>
      <c r="H689" s="3">
        <f>IFERROR(MOD(TIMEVALUE(G689)-TIMEVALUE(F689),1)*24,0)</f>
        <v>9.9166666666666679</v>
      </c>
      <c r="I689" s="24" t="str">
        <f t="shared" si="87"/>
        <v>Late</v>
      </c>
      <c r="J689" s="1" t="str">
        <f t="shared" si="88"/>
        <v>Full Day</v>
      </c>
      <c r="K689" s="1" t="str">
        <f t="shared" si="89"/>
        <v>Full Day</v>
      </c>
      <c r="L689" s="1" t="str">
        <f t="shared" si="90"/>
        <v>✓ Match</v>
      </c>
      <c r="M689" s="24" t="str">
        <f t="shared" si="91"/>
        <v>CLEAN</v>
      </c>
    </row>
    <row r="690" spans="1:13" ht="15" customHeight="1" x14ac:dyDescent="0.35">
      <c r="A690" s="1" t="s">
        <v>95</v>
      </c>
      <c r="B690" s="2" t="s">
        <v>96</v>
      </c>
      <c r="C690" s="1" t="s">
        <v>68</v>
      </c>
      <c r="D690" s="1" t="s">
        <v>55</v>
      </c>
      <c r="E690" s="24" t="s">
        <v>19</v>
      </c>
      <c r="F690" s="1" t="s">
        <v>104</v>
      </c>
      <c r="G690" s="1" t="s">
        <v>27</v>
      </c>
      <c r="H690" s="3">
        <f>IFERROR(MOD(TIMEVALUE(G690)-TIMEVALUE(F690),1)*24,0)</f>
        <v>10.583333333333334</v>
      </c>
      <c r="I690" s="24" t="str">
        <f t="shared" si="87"/>
        <v>Late</v>
      </c>
      <c r="J690" s="1" t="str">
        <f t="shared" si="88"/>
        <v>Full Day</v>
      </c>
      <c r="K690" s="1" t="str">
        <f t="shared" si="89"/>
        <v>Full Day</v>
      </c>
      <c r="L690" s="1" t="str">
        <f t="shared" si="90"/>
        <v>✓ Match</v>
      </c>
      <c r="M690" s="24" t="str">
        <f t="shared" si="91"/>
        <v>CLEAN</v>
      </c>
    </row>
    <row r="691" spans="1:13" ht="15" customHeight="1" x14ac:dyDescent="0.35">
      <c r="A691" s="1" t="s">
        <v>117</v>
      </c>
      <c r="B691" s="2" t="s">
        <v>118</v>
      </c>
      <c r="C691" s="1" t="s">
        <v>30</v>
      </c>
      <c r="D691" s="1" t="s">
        <v>55</v>
      </c>
      <c r="E691" s="24" t="s">
        <v>19</v>
      </c>
      <c r="F691" s="1" t="s">
        <v>64</v>
      </c>
      <c r="G691" s="1" t="s">
        <v>146</v>
      </c>
      <c r="H691" s="3">
        <f>IFERROR(MOD(TIMEVALUE(G691)-TIMEVALUE(F691),1)*24,0)</f>
        <v>7.0833333333333321</v>
      </c>
      <c r="I691" s="24" t="str">
        <f t="shared" si="87"/>
        <v>On Time</v>
      </c>
      <c r="J691" s="1" t="str">
        <f t="shared" si="88"/>
        <v>Half Day</v>
      </c>
      <c r="K691" s="1" t="str">
        <f t="shared" si="89"/>
        <v>Half Day</v>
      </c>
      <c r="L691" s="1" t="str">
        <f t="shared" si="90"/>
        <v>✓ Match</v>
      </c>
      <c r="M691" s="24" t="str">
        <f t="shared" si="91"/>
        <v>CLEAN</v>
      </c>
    </row>
    <row r="692" spans="1:13" ht="15" customHeight="1" x14ac:dyDescent="0.35">
      <c r="A692" s="1" t="s">
        <v>158</v>
      </c>
      <c r="B692" s="2" t="s">
        <v>159</v>
      </c>
      <c r="C692" s="1" t="s">
        <v>11</v>
      </c>
      <c r="D692" s="1" t="s">
        <v>55</v>
      </c>
      <c r="E692" s="24" t="s">
        <v>13</v>
      </c>
      <c r="F692" s="1" t="s">
        <v>14</v>
      </c>
      <c r="G692" s="1" t="s">
        <v>15</v>
      </c>
      <c r="H692" s="3">
        <v>0</v>
      </c>
      <c r="I692" s="24" t="str">
        <f t="shared" si="87"/>
        <v/>
      </c>
      <c r="J692" s="1" t="str">
        <f t="shared" si="88"/>
        <v>Absent</v>
      </c>
      <c r="K692" s="1" t="str">
        <f t="shared" si="89"/>
        <v>N/A</v>
      </c>
      <c r="L692" s="1" t="str">
        <f t="shared" si="90"/>
        <v>⚠ Mismatch</v>
      </c>
      <c r="M692" s="24" t="str">
        <f t="shared" si="91"/>
        <v>REVIEW</v>
      </c>
    </row>
    <row r="693" spans="1:13" ht="15" customHeight="1" x14ac:dyDescent="0.35">
      <c r="A693" s="1" t="s">
        <v>22</v>
      </c>
      <c r="B693" s="2" t="s">
        <v>23</v>
      </c>
      <c r="C693" s="1" t="s">
        <v>24</v>
      </c>
      <c r="D693" s="1" t="s">
        <v>114</v>
      </c>
      <c r="E693" s="24" t="s">
        <v>19</v>
      </c>
      <c r="F693" s="1" t="s">
        <v>89</v>
      </c>
      <c r="G693" s="1" t="s">
        <v>78</v>
      </c>
      <c r="H693" s="3">
        <f t="shared" ref="H693:H699" si="94">IFERROR(MOD(TIMEVALUE(G693)-TIMEVALUE(F693),1)*24,0)</f>
        <v>7.75</v>
      </c>
      <c r="I693" s="24" t="str">
        <f t="shared" si="87"/>
        <v>Late</v>
      </c>
      <c r="J693" s="1" t="str">
        <f t="shared" si="88"/>
        <v>Half Day</v>
      </c>
      <c r="K693" s="1" t="str">
        <f t="shared" si="89"/>
        <v>Half Day</v>
      </c>
      <c r="L693" s="1" t="str">
        <f t="shared" si="90"/>
        <v>✓ Match</v>
      </c>
      <c r="M693" s="24" t="str">
        <f t="shared" si="91"/>
        <v>CLEAN</v>
      </c>
    </row>
    <row r="694" spans="1:13" ht="15" customHeight="1" x14ac:dyDescent="0.35">
      <c r="A694" s="1" t="s">
        <v>124</v>
      </c>
      <c r="B694" s="2" t="s">
        <v>125</v>
      </c>
      <c r="C694" s="1" t="s">
        <v>68</v>
      </c>
      <c r="D694" s="1" t="s">
        <v>114</v>
      </c>
      <c r="E694" s="24" t="s">
        <v>19</v>
      </c>
      <c r="F694" s="1" t="s">
        <v>132</v>
      </c>
      <c r="G694" s="1" t="s">
        <v>108</v>
      </c>
      <c r="H694" s="3">
        <f t="shared" si="94"/>
        <v>9.4166666666666643</v>
      </c>
      <c r="I694" s="24" t="str">
        <f t="shared" si="87"/>
        <v>Late</v>
      </c>
      <c r="J694" s="1" t="str">
        <f t="shared" si="88"/>
        <v>Full Day</v>
      </c>
      <c r="K694" s="1" t="str">
        <f t="shared" si="89"/>
        <v>Full Day</v>
      </c>
      <c r="L694" s="1" t="str">
        <f t="shared" si="90"/>
        <v>✓ Match</v>
      </c>
      <c r="M694" s="24" t="str">
        <f t="shared" si="91"/>
        <v>CLEAN</v>
      </c>
    </row>
    <row r="695" spans="1:13" ht="15" customHeight="1" x14ac:dyDescent="0.35">
      <c r="A695" s="1" t="s">
        <v>95</v>
      </c>
      <c r="B695" s="2" t="s">
        <v>96</v>
      </c>
      <c r="C695" s="1" t="s">
        <v>68</v>
      </c>
      <c r="D695" s="1" t="s">
        <v>114</v>
      </c>
      <c r="E695" s="24" t="s">
        <v>19</v>
      </c>
      <c r="F695" s="1" t="s">
        <v>137</v>
      </c>
      <c r="G695" s="1" t="s">
        <v>127</v>
      </c>
      <c r="H695" s="3">
        <f t="shared" si="94"/>
        <v>9.2499999999999982</v>
      </c>
      <c r="I695" s="24" t="str">
        <f t="shared" si="87"/>
        <v>Late</v>
      </c>
      <c r="J695" s="1" t="str">
        <f t="shared" si="88"/>
        <v>Full Day</v>
      </c>
      <c r="K695" s="1" t="str">
        <f t="shared" si="89"/>
        <v>Full Day</v>
      </c>
      <c r="L695" s="1" t="str">
        <f t="shared" si="90"/>
        <v>✓ Match</v>
      </c>
      <c r="M695" s="24" t="str">
        <f t="shared" si="91"/>
        <v>CLEAN</v>
      </c>
    </row>
    <row r="696" spans="1:13" ht="15" customHeight="1" x14ac:dyDescent="0.35">
      <c r="A696" s="1" t="s">
        <v>101</v>
      </c>
      <c r="B696" s="2" t="s">
        <v>102</v>
      </c>
      <c r="C696" s="1" t="s">
        <v>30</v>
      </c>
      <c r="D696" s="1" t="s">
        <v>114</v>
      </c>
      <c r="E696" s="24" t="s">
        <v>19</v>
      </c>
      <c r="F696" s="1" t="s">
        <v>84</v>
      </c>
      <c r="G696" s="1" t="s">
        <v>27</v>
      </c>
      <c r="H696" s="3">
        <f t="shared" si="94"/>
        <v>11.5</v>
      </c>
      <c r="I696" s="24" t="str">
        <f t="shared" si="87"/>
        <v>Late</v>
      </c>
      <c r="J696" s="1" t="str">
        <f t="shared" si="88"/>
        <v>Full Day</v>
      </c>
      <c r="K696" s="1" t="str">
        <f t="shared" si="89"/>
        <v>Full Day</v>
      </c>
      <c r="L696" s="1" t="str">
        <f t="shared" si="90"/>
        <v>✓ Match</v>
      </c>
      <c r="M696" s="24" t="str">
        <f t="shared" si="91"/>
        <v>CLEAN</v>
      </c>
    </row>
    <row r="697" spans="1:13" ht="15" customHeight="1" x14ac:dyDescent="0.35">
      <c r="A697" s="1" t="s">
        <v>47</v>
      </c>
      <c r="B697" s="2" t="s">
        <v>48</v>
      </c>
      <c r="C697" s="1" t="s">
        <v>18</v>
      </c>
      <c r="D697" s="1" t="s">
        <v>114</v>
      </c>
      <c r="E697" s="24" t="s">
        <v>19</v>
      </c>
      <c r="F697" s="1" t="s">
        <v>129</v>
      </c>
      <c r="G697" s="1" t="s">
        <v>27</v>
      </c>
      <c r="H697" s="3">
        <f t="shared" si="94"/>
        <v>11.75</v>
      </c>
      <c r="I697" s="24" t="str">
        <f t="shared" si="87"/>
        <v>On Time</v>
      </c>
      <c r="J697" s="1" t="str">
        <f t="shared" si="88"/>
        <v>Full Day</v>
      </c>
      <c r="K697" s="1" t="str">
        <f t="shared" si="89"/>
        <v>Full Day</v>
      </c>
      <c r="L697" s="1" t="str">
        <f t="shared" si="90"/>
        <v>✓ Match</v>
      </c>
      <c r="M697" s="24" t="str">
        <f t="shared" si="91"/>
        <v>CLEAN</v>
      </c>
    </row>
    <row r="698" spans="1:13" ht="15" customHeight="1" x14ac:dyDescent="0.35">
      <c r="A698" s="1" t="s">
        <v>9</v>
      </c>
      <c r="B698" s="2" t="s">
        <v>10</v>
      </c>
      <c r="C698" s="1" t="s">
        <v>11</v>
      </c>
      <c r="D698" s="1" t="s">
        <v>114</v>
      </c>
      <c r="E698" s="24" t="s">
        <v>19</v>
      </c>
      <c r="F698" s="1" t="s">
        <v>137</v>
      </c>
      <c r="G698" s="1" t="s">
        <v>39</v>
      </c>
      <c r="H698" s="3">
        <f t="shared" si="94"/>
        <v>9.6666666666666661</v>
      </c>
      <c r="I698" s="24" t="str">
        <f t="shared" si="87"/>
        <v>Late</v>
      </c>
      <c r="J698" s="1" t="str">
        <f t="shared" si="88"/>
        <v>Full Day</v>
      </c>
      <c r="K698" s="1" t="str">
        <f t="shared" si="89"/>
        <v>Full Day</v>
      </c>
      <c r="L698" s="1" t="str">
        <f t="shared" si="90"/>
        <v>✓ Match</v>
      </c>
      <c r="M698" s="24" t="str">
        <f t="shared" si="91"/>
        <v>CLEAN</v>
      </c>
    </row>
    <row r="699" spans="1:13" ht="15" customHeight="1" x14ac:dyDescent="0.35">
      <c r="A699" s="1" t="s">
        <v>45</v>
      </c>
      <c r="B699" s="2" t="s">
        <v>46</v>
      </c>
      <c r="C699" s="1" t="s">
        <v>18</v>
      </c>
      <c r="D699" s="1" t="s">
        <v>114</v>
      </c>
      <c r="E699" s="24" t="s">
        <v>19</v>
      </c>
      <c r="F699" s="1" t="s">
        <v>100</v>
      </c>
      <c r="G699" s="1" t="s">
        <v>123</v>
      </c>
      <c r="H699" s="3">
        <f t="shared" si="94"/>
        <v>12.166666666666666</v>
      </c>
      <c r="I699" s="24" t="str">
        <f t="shared" si="87"/>
        <v>On Time</v>
      </c>
      <c r="J699" s="1" t="str">
        <f t="shared" si="88"/>
        <v>Full Day</v>
      </c>
      <c r="K699" s="1" t="str">
        <f t="shared" si="89"/>
        <v>Full Day</v>
      </c>
      <c r="L699" s="1" t="str">
        <f t="shared" si="90"/>
        <v>✓ Match</v>
      </c>
      <c r="M699" s="24" t="str">
        <f t="shared" si="91"/>
        <v>CLEAN</v>
      </c>
    </row>
    <row r="700" spans="1:13" ht="15" customHeight="1" x14ac:dyDescent="0.35">
      <c r="A700" s="1" t="s">
        <v>79</v>
      </c>
      <c r="B700" s="2" t="s">
        <v>80</v>
      </c>
      <c r="C700" s="1" t="s">
        <v>18</v>
      </c>
      <c r="D700" s="1" t="s">
        <v>114</v>
      </c>
      <c r="E700" s="24" t="s">
        <v>13</v>
      </c>
      <c r="F700" s="1" t="s">
        <v>14</v>
      </c>
      <c r="G700" s="1" t="s">
        <v>15</v>
      </c>
      <c r="H700" s="3">
        <v>0</v>
      </c>
      <c r="I700" s="24" t="str">
        <f t="shared" si="87"/>
        <v/>
      </c>
      <c r="J700" s="1" t="str">
        <f t="shared" si="88"/>
        <v>Absent</v>
      </c>
      <c r="K700" s="1" t="str">
        <f t="shared" si="89"/>
        <v>N/A</v>
      </c>
      <c r="L700" s="1" t="str">
        <f t="shared" si="90"/>
        <v>⚠ Mismatch</v>
      </c>
      <c r="M700" s="24" t="str">
        <f t="shared" si="91"/>
        <v>REVIEW</v>
      </c>
    </row>
    <row r="701" spans="1:13" ht="15" customHeight="1" x14ac:dyDescent="0.35">
      <c r="A701" s="1" t="s">
        <v>66</v>
      </c>
      <c r="B701" s="2" t="s">
        <v>67</v>
      </c>
      <c r="C701" s="1" t="s">
        <v>68</v>
      </c>
      <c r="D701" s="1" t="s">
        <v>114</v>
      </c>
      <c r="E701" s="24" t="s">
        <v>37</v>
      </c>
      <c r="F701" s="1" t="s">
        <v>93</v>
      </c>
      <c r="G701" s="1" t="s">
        <v>44</v>
      </c>
      <c r="H701" s="3">
        <f>IFERROR(MOD(TIMEVALUE(G701)-TIMEVALUE(F701),1)*24,0)</f>
        <v>8.1666666666666679</v>
      </c>
      <c r="I701" s="24" t="str">
        <f t="shared" si="87"/>
        <v>Late</v>
      </c>
      <c r="J701" s="1" t="str">
        <f t="shared" si="88"/>
        <v>Full Day</v>
      </c>
      <c r="K701" s="1" t="str">
        <f t="shared" si="89"/>
        <v>Full Day</v>
      </c>
      <c r="L701" s="1" t="str">
        <f t="shared" si="90"/>
        <v>✓ Match</v>
      </c>
      <c r="M701" s="24" t="str">
        <f t="shared" si="91"/>
        <v>CLEAN</v>
      </c>
    </row>
    <row r="702" spans="1:13" ht="15" customHeight="1" x14ac:dyDescent="0.35">
      <c r="A702" s="1" t="s">
        <v>112</v>
      </c>
      <c r="B702" s="2" t="s">
        <v>113</v>
      </c>
      <c r="C702" s="1" t="s">
        <v>30</v>
      </c>
      <c r="D702" s="1" t="s">
        <v>114</v>
      </c>
      <c r="E702" s="24" t="s">
        <v>37</v>
      </c>
      <c r="F702" s="1" t="s">
        <v>84</v>
      </c>
      <c r="G702" s="1" t="s">
        <v>108</v>
      </c>
      <c r="H702" s="3">
        <f>IFERROR(MOD(TIMEVALUE(G702)-TIMEVALUE(F702),1)*24,0)</f>
        <v>11.249999999999998</v>
      </c>
      <c r="I702" s="24" t="str">
        <f t="shared" si="87"/>
        <v>Late</v>
      </c>
      <c r="J702" s="1" t="str">
        <f t="shared" si="88"/>
        <v>Full Day</v>
      </c>
      <c r="K702" s="1" t="str">
        <f t="shared" si="89"/>
        <v>Full Day</v>
      </c>
      <c r="L702" s="1" t="str">
        <f t="shared" si="90"/>
        <v>✓ Match</v>
      </c>
      <c r="M702" s="24" t="str">
        <f t="shared" si="91"/>
        <v>CLEAN</v>
      </c>
    </row>
    <row r="703" spans="1:13" ht="15" customHeight="1" x14ac:dyDescent="0.35">
      <c r="A703" s="1" t="s">
        <v>134</v>
      </c>
      <c r="B703" s="2" t="s">
        <v>135</v>
      </c>
      <c r="C703" s="1" t="s">
        <v>68</v>
      </c>
      <c r="D703" s="1" t="s">
        <v>114</v>
      </c>
      <c r="E703" s="24" t="s">
        <v>19</v>
      </c>
      <c r="F703" s="1" t="s">
        <v>128</v>
      </c>
      <c r="G703" s="1" t="s">
        <v>27</v>
      </c>
      <c r="H703" s="3">
        <f>IFERROR(MOD(TIMEVALUE(G703)-TIMEVALUE(F703),1)*24,0)</f>
        <v>11.250000000000002</v>
      </c>
      <c r="I703" s="24" t="str">
        <f t="shared" si="87"/>
        <v>Late</v>
      </c>
      <c r="J703" s="1" t="str">
        <f t="shared" si="88"/>
        <v>Full Day</v>
      </c>
      <c r="K703" s="1" t="str">
        <f t="shared" si="89"/>
        <v>Full Day</v>
      </c>
      <c r="L703" s="1" t="str">
        <f t="shared" si="90"/>
        <v>✓ Match</v>
      </c>
      <c r="M703" s="24" t="str">
        <f t="shared" si="91"/>
        <v>CLEAN</v>
      </c>
    </row>
    <row r="704" spans="1:13" ht="15" customHeight="1" x14ac:dyDescent="0.35">
      <c r="A704" s="1" t="s">
        <v>61</v>
      </c>
      <c r="B704" s="2" t="s">
        <v>62</v>
      </c>
      <c r="C704" s="1" t="s">
        <v>11</v>
      </c>
      <c r="D704" s="1" t="s">
        <v>114</v>
      </c>
      <c r="E704" s="24" t="s">
        <v>19</v>
      </c>
      <c r="F704" s="1" t="s">
        <v>104</v>
      </c>
      <c r="G704" s="1" t="s">
        <v>156</v>
      </c>
      <c r="H704" s="3">
        <f>IFERROR(MOD(TIMEVALUE(G704)-TIMEVALUE(F704),1)*24,0)</f>
        <v>7.3333333333333321</v>
      </c>
      <c r="I704" s="24" t="str">
        <f t="shared" si="87"/>
        <v>Late</v>
      </c>
      <c r="J704" s="1" t="str">
        <f t="shared" si="88"/>
        <v>Half Day</v>
      </c>
      <c r="K704" s="1" t="str">
        <f t="shared" si="89"/>
        <v>Half Day</v>
      </c>
      <c r="L704" s="1" t="str">
        <f t="shared" si="90"/>
        <v>✓ Match</v>
      </c>
      <c r="M704" s="24" t="str">
        <f t="shared" si="91"/>
        <v>CLEAN</v>
      </c>
    </row>
    <row r="705" spans="1:13" ht="15" customHeight="1" x14ac:dyDescent="0.35">
      <c r="A705" s="1" t="s">
        <v>72</v>
      </c>
      <c r="B705" s="2" t="s">
        <v>73</v>
      </c>
      <c r="C705" s="1" t="s">
        <v>68</v>
      </c>
      <c r="D705" s="1" t="s">
        <v>114</v>
      </c>
      <c r="E705" s="24" t="s">
        <v>37</v>
      </c>
      <c r="F705" s="1" t="s">
        <v>56</v>
      </c>
      <c r="G705" s="1" t="s">
        <v>90</v>
      </c>
      <c r="H705" s="3">
        <f>IFERROR(MOD(TIMEVALUE(G705)-TIMEVALUE(F705),1)*24,0)</f>
        <v>9.7500000000000018</v>
      </c>
      <c r="I705" s="24" t="str">
        <f t="shared" si="87"/>
        <v>Late</v>
      </c>
      <c r="J705" s="1" t="str">
        <f t="shared" si="88"/>
        <v>Full Day</v>
      </c>
      <c r="K705" s="1" t="str">
        <f t="shared" si="89"/>
        <v>Full Day</v>
      </c>
      <c r="L705" s="1" t="str">
        <f t="shared" si="90"/>
        <v>✓ Match</v>
      </c>
      <c r="M705" s="24" t="str">
        <f t="shared" si="91"/>
        <v>CLEAN</v>
      </c>
    </row>
    <row r="706" spans="1:13" ht="15" customHeight="1" x14ac:dyDescent="0.35">
      <c r="A706" s="1" t="s">
        <v>57</v>
      </c>
      <c r="B706" s="2" t="s">
        <v>58</v>
      </c>
      <c r="C706" s="1" t="s">
        <v>30</v>
      </c>
      <c r="D706" s="1" t="s">
        <v>114</v>
      </c>
      <c r="E706" s="24" t="s">
        <v>13</v>
      </c>
      <c r="F706" s="1" t="s">
        <v>14</v>
      </c>
      <c r="G706" s="1" t="s">
        <v>15</v>
      </c>
      <c r="H706" s="3">
        <v>0</v>
      </c>
      <c r="I706" s="24" t="str">
        <f t="shared" si="87"/>
        <v/>
      </c>
      <c r="J706" s="1" t="str">
        <f t="shared" si="88"/>
        <v>Absent</v>
      </c>
      <c r="K706" s="1" t="str">
        <f t="shared" si="89"/>
        <v>N/A</v>
      </c>
      <c r="L706" s="1" t="str">
        <f t="shared" si="90"/>
        <v>⚠ Mismatch</v>
      </c>
      <c r="M706" s="24" t="str">
        <f t="shared" si="91"/>
        <v>REVIEW</v>
      </c>
    </row>
    <row r="707" spans="1:13" ht="15" customHeight="1" x14ac:dyDescent="0.35">
      <c r="A707" s="1" t="s">
        <v>98</v>
      </c>
      <c r="B707" s="2" t="s">
        <v>99</v>
      </c>
      <c r="C707" s="1" t="s">
        <v>18</v>
      </c>
      <c r="D707" s="1" t="s">
        <v>114</v>
      </c>
      <c r="E707" s="24" t="s">
        <v>19</v>
      </c>
      <c r="F707" s="1" t="s">
        <v>152</v>
      </c>
      <c r="G707" s="1" t="s">
        <v>127</v>
      </c>
      <c r="H707" s="3">
        <f t="shared" ref="H707:H712" si="95">IFERROR(MOD(TIMEVALUE(G707)-TIMEVALUE(F707),1)*24,0)</f>
        <v>7.8333333333333321</v>
      </c>
      <c r="I707" s="24" t="str">
        <f t="shared" ref="I707:I752" si="96">IF(F707="No Login","",IF(TIMEVALUE(F707)&gt;TIMEVALUE("09:00"),"Late","On Time"))</f>
        <v>Late</v>
      </c>
      <c r="J707" s="1" t="str">
        <f t="shared" ref="J707:J752" si="97">IF(E707="Absent","Absent",IF(H707&gt;=8,"Full Day",IF(H707&gt;=4,"Half Day","Short")))</f>
        <v>Half Day</v>
      </c>
      <c r="K707" s="1" t="str">
        <f t="shared" ref="K707:K752" si="98">IF(E707="Absent","N/A",IF(H707&gt;=8,"Full Day",IF(H707&gt;=4,"Half Day","Short")))</f>
        <v>Half Day</v>
      </c>
      <c r="L707" s="1" t="str">
        <f t="shared" ref="L707:L752" si="99">IF(J707=K707,"✓ Match","⚠ Mismatch")</f>
        <v>✓ Match</v>
      </c>
      <c r="M707" s="24" t="str">
        <f t="shared" ref="M707:M752" si="100">IF(AND(J707=K707,OR(E707="Present",E707="Work From Home",E707="Absent")),"CLEAN","REVIEW")</f>
        <v>CLEAN</v>
      </c>
    </row>
    <row r="708" spans="1:13" ht="15" customHeight="1" x14ac:dyDescent="0.35">
      <c r="A708" s="1" t="s">
        <v>142</v>
      </c>
      <c r="B708" s="2" t="s">
        <v>143</v>
      </c>
      <c r="C708" s="1" t="s">
        <v>18</v>
      </c>
      <c r="D708" s="1" t="s">
        <v>114</v>
      </c>
      <c r="E708" s="24" t="s">
        <v>19</v>
      </c>
      <c r="F708" s="1" t="s">
        <v>137</v>
      </c>
      <c r="G708" s="1" t="s">
        <v>21</v>
      </c>
      <c r="H708" s="3">
        <f t="shared" si="95"/>
        <v>10.416666666666666</v>
      </c>
      <c r="I708" s="24" t="str">
        <f t="shared" si="96"/>
        <v>Late</v>
      </c>
      <c r="J708" s="1" t="str">
        <f t="shared" si="97"/>
        <v>Full Day</v>
      </c>
      <c r="K708" s="1" t="str">
        <f t="shared" si="98"/>
        <v>Full Day</v>
      </c>
      <c r="L708" s="1" t="str">
        <f t="shared" si="99"/>
        <v>✓ Match</v>
      </c>
      <c r="M708" s="24" t="str">
        <f t="shared" si="100"/>
        <v>CLEAN</v>
      </c>
    </row>
    <row r="709" spans="1:13" ht="15" customHeight="1" x14ac:dyDescent="0.35">
      <c r="A709" s="1" t="s">
        <v>16</v>
      </c>
      <c r="B709" s="2" t="s">
        <v>17</v>
      </c>
      <c r="C709" s="1" t="s">
        <v>18</v>
      </c>
      <c r="D709" s="1" t="s">
        <v>114</v>
      </c>
      <c r="E709" s="24" t="s">
        <v>19</v>
      </c>
      <c r="F709" s="1" t="s">
        <v>84</v>
      </c>
      <c r="G709" s="1" t="s">
        <v>147</v>
      </c>
      <c r="H709" s="3">
        <f t="shared" si="95"/>
        <v>8.0833333333333321</v>
      </c>
      <c r="I709" s="24" t="str">
        <f t="shared" si="96"/>
        <v>Late</v>
      </c>
      <c r="J709" s="1" t="str">
        <f t="shared" si="97"/>
        <v>Full Day</v>
      </c>
      <c r="K709" s="1" t="str">
        <f t="shared" si="98"/>
        <v>Full Day</v>
      </c>
      <c r="L709" s="1" t="str">
        <f t="shared" si="99"/>
        <v>✓ Match</v>
      </c>
      <c r="M709" s="24" t="str">
        <f t="shared" si="100"/>
        <v>CLEAN</v>
      </c>
    </row>
    <row r="710" spans="1:13" ht="15" customHeight="1" x14ac:dyDescent="0.35">
      <c r="A710" s="1" t="s">
        <v>76</v>
      </c>
      <c r="B710" s="2" t="s">
        <v>77</v>
      </c>
      <c r="C710" s="1" t="s">
        <v>68</v>
      </c>
      <c r="D710" s="1" t="s">
        <v>114</v>
      </c>
      <c r="E710" s="24" t="s">
        <v>19</v>
      </c>
      <c r="F710" s="1" t="s">
        <v>100</v>
      </c>
      <c r="G710" s="1" t="s">
        <v>65</v>
      </c>
      <c r="H710" s="3">
        <f t="shared" si="95"/>
        <v>10</v>
      </c>
      <c r="I710" s="24" t="str">
        <f t="shared" si="96"/>
        <v>On Time</v>
      </c>
      <c r="J710" s="1" t="str">
        <f t="shared" si="97"/>
        <v>Full Day</v>
      </c>
      <c r="K710" s="1" t="str">
        <f t="shared" si="98"/>
        <v>Full Day</v>
      </c>
      <c r="L710" s="1" t="str">
        <f t="shared" si="99"/>
        <v>✓ Match</v>
      </c>
      <c r="M710" s="24" t="str">
        <f t="shared" si="100"/>
        <v>CLEAN</v>
      </c>
    </row>
    <row r="711" spans="1:13" ht="15" customHeight="1" x14ac:dyDescent="0.35">
      <c r="A711" s="1" t="s">
        <v>105</v>
      </c>
      <c r="B711" s="2" t="s">
        <v>106</v>
      </c>
      <c r="C711" s="1" t="s">
        <v>11</v>
      </c>
      <c r="D711" s="1" t="s">
        <v>114</v>
      </c>
      <c r="E711" s="24" t="s">
        <v>19</v>
      </c>
      <c r="F711" s="1" t="s">
        <v>75</v>
      </c>
      <c r="G711" s="1" t="s">
        <v>144</v>
      </c>
      <c r="H711" s="3">
        <f t="shared" si="95"/>
        <v>8.25</v>
      </c>
      <c r="I711" s="24" t="str">
        <f t="shared" si="96"/>
        <v>On Time</v>
      </c>
      <c r="J711" s="1" t="str">
        <f t="shared" si="97"/>
        <v>Full Day</v>
      </c>
      <c r="K711" s="1" t="str">
        <f t="shared" si="98"/>
        <v>Full Day</v>
      </c>
      <c r="L711" s="1" t="str">
        <f t="shared" si="99"/>
        <v>✓ Match</v>
      </c>
      <c r="M711" s="24" t="str">
        <f t="shared" si="100"/>
        <v>CLEAN</v>
      </c>
    </row>
    <row r="712" spans="1:13" ht="15" customHeight="1" x14ac:dyDescent="0.35">
      <c r="A712" s="1" t="s">
        <v>117</v>
      </c>
      <c r="B712" s="2" t="s">
        <v>118</v>
      </c>
      <c r="C712" s="1" t="s">
        <v>30</v>
      </c>
      <c r="D712" s="1" t="s">
        <v>114</v>
      </c>
      <c r="E712" s="24" t="s">
        <v>37</v>
      </c>
      <c r="F712" s="1" t="s">
        <v>64</v>
      </c>
      <c r="G712" s="1" t="s">
        <v>27</v>
      </c>
      <c r="H712" s="3">
        <f t="shared" si="95"/>
        <v>12.666666666666668</v>
      </c>
      <c r="I712" s="24" t="str">
        <f t="shared" si="96"/>
        <v>On Time</v>
      </c>
      <c r="J712" s="1" t="str">
        <f t="shared" si="97"/>
        <v>Full Day</v>
      </c>
      <c r="K712" s="1" t="str">
        <f t="shared" si="98"/>
        <v>Full Day</v>
      </c>
      <c r="L712" s="1" t="str">
        <f t="shared" si="99"/>
        <v>✓ Match</v>
      </c>
      <c r="M712" s="24" t="str">
        <f t="shared" si="100"/>
        <v>CLEAN</v>
      </c>
    </row>
    <row r="713" spans="1:13" ht="15" customHeight="1" x14ac:dyDescent="0.35">
      <c r="A713" s="1" t="s">
        <v>150</v>
      </c>
      <c r="B713" s="2" t="s">
        <v>151</v>
      </c>
      <c r="C713" s="1" t="s">
        <v>68</v>
      </c>
      <c r="D713" s="1" t="s">
        <v>114</v>
      </c>
      <c r="E713" s="24" t="s">
        <v>13</v>
      </c>
      <c r="F713" s="1" t="s">
        <v>14</v>
      </c>
      <c r="G713" s="1" t="s">
        <v>15</v>
      </c>
      <c r="H713" s="3">
        <v>0</v>
      </c>
      <c r="I713" s="24" t="str">
        <f t="shared" si="96"/>
        <v/>
      </c>
      <c r="J713" s="1" t="str">
        <f t="shared" si="97"/>
        <v>Absent</v>
      </c>
      <c r="K713" s="1" t="str">
        <f t="shared" si="98"/>
        <v>N/A</v>
      </c>
      <c r="L713" s="1" t="str">
        <f t="shared" si="99"/>
        <v>⚠ Mismatch</v>
      </c>
      <c r="M713" s="24" t="str">
        <f t="shared" si="100"/>
        <v>REVIEW</v>
      </c>
    </row>
    <row r="714" spans="1:13" ht="15" customHeight="1" x14ac:dyDescent="0.35">
      <c r="A714" s="1" t="s">
        <v>158</v>
      </c>
      <c r="B714" s="2" t="s">
        <v>159</v>
      </c>
      <c r="C714" s="1" t="s">
        <v>11</v>
      </c>
      <c r="D714" s="1" t="s">
        <v>114</v>
      </c>
      <c r="E714" s="24" t="s">
        <v>13</v>
      </c>
      <c r="F714" s="1" t="s">
        <v>14</v>
      </c>
      <c r="G714" s="1" t="s">
        <v>15</v>
      </c>
      <c r="H714" s="3">
        <v>0</v>
      </c>
      <c r="I714" s="24" t="str">
        <f t="shared" si="96"/>
        <v/>
      </c>
      <c r="J714" s="1" t="str">
        <f t="shared" si="97"/>
        <v>Absent</v>
      </c>
      <c r="K714" s="1" t="str">
        <f t="shared" si="98"/>
        <v>N/A</v>
      </c>
      <c r="L714" s="1" t="str">
        <f t="shared" si="99"/>
        <v>⚠ Mismatch</v>
      </c>
      <c r="M714" s="24" t="str">
        <f t="shared" si="100"/>
        <v>REVIEW</v>
      </c>
    </row>
    <row r="715" spans="1:13" ht="15" customHeight="1" x14ac:dyDescent="0.35">
      <c r="A715" s="1" t="s">
        <v>130</v>
      </c>
      <c r="B715" s="2" t="s">
        <v>131</v>
      </c>
      <c r="C715" s="1" t="s">
        <v>11</v>
      </c>
      <c r="D715" s="1" t="s">
        <v>114</v>
      </c>
      <c r="E715" s="24" t="s">
        <v>19</v>
      </c>
      <c r="F715" s="1" t="s">
        <v>140</v>
      </c>
      <c r="G715" s="1" t="s">
        <v>127</v>
      </c>
      <c r="H715" s="3">
        <f t="shared" ref="H715:H722" si="101">IFERROR(MOD(TIMEVALUE(G715)-TIMEVALUE(F715),1)*24,0)</f>
        <v>8.5833333333333321</v>
      </c>
      <c r="I715" s="24" t="str">
        <f t="shared" si="96"/>
        <v>Late</v>
      </c>
      <c r="J715" s="1" t="str">
        <f t="shared" si="97"/>
        <v>Full Day</v>
      </c>
      <c r="K715" s="1" t="str">
        <f t="shared" si="98"/>
        <v>Full Day</v>
      </c>
      <c r="L715" s="1" t="str">
        <f t="shared" si="99"/>
        <v>✓ Match</v>
      </c>
      <c r="M715" s="24" t="str">
        <f t="shared" si="100"/>
        <v>CLEAN</v>
      </c>
    </row>
    <row r="716" spans="1:13" ht="15" customHeight="1" x14ac:dyDescent="0.35">
      <c r="A716" s="1" t="s">
        <v>40</v>
      </c>
      <c r="B716" s="2" t="s">
        <v>41</v>
      </c>
      <c r="C716" s="1" t="s">
        <v>24</v>
      </c>
      <c r="D716" s="1" t="s">
        <v>114</v>
      </c>
      <c r="E716" s="24" t="s">
        <v>19</v>
      </c>
      <c r="F716" s="1" t="s">
        <v>122</v>
      </c>
      <c r="G716" s="1" t="s">
        <v>147</v>
      </c>
      <c r="H716" s="3">
        <f t="shared" si="101"/>
        <v>8</v>
      </c>
      <c r="I716" s="24" t="str">
        <f t="shared" si="96"/>
        <v>Late</v>
      </c>
      <c r="J716" s="1" t="str">
        <f t="shared" si="97"/>
        <v>Full Day</v>
      </c>
      <c r="K716" s="1" t="str">
        <f t="shared" si="98"/>
        <v>Full Day</v>
      </c>
      <c r="L716" s="1" t="str">
        <f t="shared" si="99"/>
        <v>✓ Match</v>
      </c>
      <c r="M716" s="24" t="str">
        <f t="shared" si="100"/>
        <v>CLEAN</v>
      </c>
    </row>
    <row r="717" spans="1:13" ht="15" customHeight="1" x14ac:dyDescent="0.35">
      <c r="A717" s="1" t="s">
        <v>53</v>
      </c>
      <c r="B717" s="2" t="s">
        <v>54</v>
      </c>
      <c r="C717" s="1" t="s">
        <v>18</v>
      </c>
      <c r="D717" s="1" t="s">
        <v>114</v>
      </c>
      <c r="E717" s="24" t="s">
        <v>19</v>
      </c>
      <c r="F717" s="1" t="s">
        <v>70</v>
      </c>
      <c r="G717" s="1" t="s">
        <v>27</v>
      </c>
      <c r="H717" s="3">
        <f t="shared" si="101"/>
        <v>10</v>
      </c>
      <c r="I717" s="24" t="str">
        <f t="shared" si="96"/>
        <v>Late</v>
      </c>
      <c r="J717" s="1" t="str">
        <f t="shared" si="97"/>
        <v>Full Day</v>
      </c>
      <c r="K717" s="1" t="str">
        <f t="shared" si="98"/>
        <v>Full Day</v>
      </c>
      <c r="L717" s="1" t="str">
        <f t="shared" si="99"/>
        <v>✓ Match</v>
      </c>
      <c r="M717" s="24" t="str">
        <f t="shared" si="100"/>
        <v>CLEAN</v>
      </c>
    </row>
    <row r="718" spans="1:13" ht="15" customHeight="1" x14ac:dyDescent="0.35">
      <c r="A718" s="1" t="s">
        <v>120</v>
      </c>
      <c r="B718" s="2" t="s">
        <v>121</v>
      </c>
      <c r="C718" s="1" t="s">
        <v>11</v>
      </c>
      <c r="D718" s="1" t="s">
        <v>114</v>
      </c>
      <c r="E718" s="24" t="s">
        <v>19</v>
      </c>
      <c r="F718" s="1" t="s">
        <v>100</v>
      </c>
      <c r="G718" s="1" t="s">
        <v>90</v>
      </c>
      <c r="H718" s="3">
        <f t="shared" si="101"/>
        <v>12</v>
      </c>
      <c r="I718" s="24" t="str">
        <f t="shared" si="96"/>
        <v>On Time</v>
      </c>
      <c r="J718" s="1" t="str">
        <f t="shared" si="97"/>
        <v>Full Day</v>
      </c>
      <c r="K718" s="1" t="str">
        <f t="shared" si="98"/>
        <v>Full Day</v>
      </c>
      <c r="L718" s="1" t="str">
        <f t="shared" si="99"/>
        <v>✓ Match</v>
      </c>
      <c r="M718" s="24" t="str">
        <f t="shared" si="100"/>
        <v>CLEAN</v>
      </c>
    </row>
    <row r="719" spans="1:13" ht="15" customHeight="1" x14ac:dyDescent="0.35">
      <c r="A719" s="1" t="s">
        <v>91</v>
      </c>
      <c r="B719" s="2" t="s">
        <v>92</v>
      </c>
      <c r="C719" s="1" t="s">
        <v>18</v>
      </c>
      <c r="D719" s="1" t="s">
        <v>114</v>
      </c>
      <c r="E719" s="24" t="s">
        <v>19</v>
      </c>
      <c r="F719" s="1" t="s">
        <v>43</v>
      </c>
      <c r="G719" s="1" t="s">
        <v>127</v>
      </c>
      <c r="H719" s="3">
        <f t="shared" si="101"/>
        <v>9.8333333333333321</v>
      </c>
      <c r="I719" s="24" t="str">
        <f t="shared" si="96"/>
        <v>On Time</v>
      </c>
      <c r="J719" s="1" t="str">
        <f t="shared" si="97"/>
        <v>Full Day</v>
      </c>
      <c r="K719" s="1" t="str">
        <f t="shared" si="98"/>
        <v>Full Day</v>
      </c>
      <c r="L719" s="1" t="str">
        <f t="shared" si="99"/>
        <v>✓ Match</v>
      </c>
      <c r="M719" s="24" t="str">
        <f t="shared" si="100"/>
        <v>CLEAN</v>
      </c>
    </row>
    <row r="720" spans="1:13" ht="15" customHeight="1" x14ac:dyDescent="0.35">
      <c r="A720" s="1" t="s">
        <v>28</v>
      </c>
      <c r="B720" s="2" t="s">
        <v>29</v>
      </c>
      <c r="C720" s="1" t="s">
        <v>30</v>
      </c>
      <c r="D720" s="1" t="s">
        <v>114</v>
      </c>
      <c r="E720" s="24" t="s">
        <v>19</v>
      </c>
      <c r="F720" s="1" t="s">
        <v>84</v>
      </c>
      <c r="G720" s="1" t="s">
        <v>154</v>
      </c>
      <c r="H720" s="3">
        <f t="shared" si="101"/>
        <v>7.0833333333333304</v>
      </c>
      <c r="I720" s="24" t="str">
        <f t="shared" si="96"/>
        <v>Late</v>
      </c>
      <c r="J720" s="1" t="str">
        <f t="shared" si="97"/>
        <v>Half Day</v>
      </c>
      <c r="K720" s="1" t="str">
        <f t="shared" si="98"/>
        <v>Half Day</v>
      </c>
      <c r="L720" s="1" t="str">
        <f t="shared" si="99"/>
        <v>✓ Match</v>
      </c>
      <c r="M720" s="24" t="str">
        <f t="shared" si="100"/>
        <v>CLEAN</v>
      </c>
    </row>
    <row r="721" spans="1:13" ht="15" customHeight="1" x14ac:dyDescent="0.35">
      <c r="A721" s="1" t="s">
        <v>110</v>
      </c>
      <c r="B721" s="2" t="s">
        <v>111</v>
      </c>
      <c r="C721" s="1" t="s">
        <v>68</v>
      </c>
      <c r="D721" s="1" t="s">
        <v>114</v>
      </c>
      <c r="E721" s="24" t="s">
        <v>19</v>
      </c>
      <c r="F721" s="1" t="s">
        <v>64</v>
      </c>
      <c r="G721" s="1" t="s">
        <v>71</v>
      </c>
      <c r="H721" s="3">
        <f t="shared" si="101"/>
        <v>11.666666666666664</v>
      </c>
      <c r="I721" s="24" t="str">
        <f t="shared" si="96"/>
        <v>On Time</v>
      </c>
      <c r="J721" s="1" t="str">
        <f t="shared" si="97"/>
        <v>Full Day</v>
      </c>
      <c r="K721" s="1" t="str">
        <f t="shared" si="98"/>
        <v>Full Day</v>
      </c>
      <c r="L721" s="1" t="str">
        <f t="shared" si="99"/>
        <v>✓ Match</v>
      </c>
      <c r="M721" s="24" t="str">
        <f t="shared" si="100"/>
        <v>CLEAN</v>
      </c>
    </row>
    <row r="722" spans="1:13" ht="15" customHeight="1" x14ac:dyDescent="0.35">
      <c r="A722" s="1" t="s">
        <v>82</v>
      </c>
      <c r="B722" s="2" t="s">
        <v>83</v>
      </c>
      <c r="C722" s="1" t="s">
        <v>68</v>
      </c>
      <c r="D722" s="1" t="s">
        <v>114</v>
      </c>
      <c r="E722" s="24" t="s">
        <v>19</v>
      </c>
      <c r="F722" s="1" t="s">
        <v>93</v>
      </c>
      <c r="G722" s="1" t="s">
        <v>27</v>
      </c>
      <c r="H722" s="3">
        <f t="shared" si="101"/>
        <v>10.416666666666668</v>
      </c>
      <c r="I722" s="24" t="str">
        <f t="shared" si="96"/>
        <v>Late</v>
      </c>
      <c r="J722" s="1" t="str">
        <f t="shared" si="97"/>
        <v>Full Day</v>
      </c>
      <c r="K722" s="1" t="str">
        <f t="shared" si="98"/>
        <v>Full Day</v>
      </c>
      <c r="L722" s="1" t="str">
        <f t="shared" si="99"/>
        <v>✓ Match</v>
      </c>
      <c r="M722" s="24" t="str">
        <f t="shared" si="100"/>
        <v>CLEAN</v>
      </c>
    </row>
    <row r="723" spans="1:13" ht="15" customHeight="1" x14ac:dyDescent="0.35">
      <c r="A723" s="1" t="s">
        <v>79</v>
      </c>
      <c r="B723" s="2" t="s">
        <v>80</v>
      </c>
      <c r="C723" s="1" t="s">
        <v>18</v>
      </c>
      <c r="D723" s="1" t="s">
        <v>88</v>
      </c>
      <c r="E723" s="24" t="s">
        <v>13</v>
      </c>
      <c r="F723" s="1" t="s">
        <v>14</v>
      </c>
      <c r="G723" s="1" t="s">
        <v>15</v>
      </c>
      <c r="H723" s="3">
        <v>0</v>
      </c>
      <c r="I723" s="24" t="str">
        <f t="shared" si="96"/>
        <v/>
      </c>
      <c r="J723" s="1" t="str">
        <f t="shared" si="97"/>
        <v>Absent</v>
      </c>
      <c r="K723" s="1" t="str">
        <f t="shared" si="98"/>
        <v>N/A</v>
      </c>
      <c r="L723" s="1" t="str">
        <f t="shared" si="99"/>
        <v>⚠ Mismatch</v>
      </c>
      <c r="M723" s="24" t="str">
        <f t="shared" si="100"/>
        <v>REVIEW</v>
      </c>
    </row>
    <row r="724" spans="1:13" ht="15" customHeight="1" x14ac:dyDescent="0.35">
      <c r="A724" s="1" t="s">
        <v>76</v>
      </c>
      <c r="B724" s="2" t="s">
        <v>77</v>
      </c>
      <c r="C724" s="1" t="s">
        <v>68</v>
      </c>
      <c r="D724" s="1" t="s">
        <v>88</v>
      </c>
      <c r="E724" s="24" t="s">
        <v>19</v>
      </c>
      <c r="F724" s="1" t="s">
        <v>56</v>
      </c>
      <c r="G724" s="1" t="s">
        <v>108</v>
      </c>
      <c r="H724" s="3">
        <f>IFERROR(MOD(TIMEVALUE(G724)-TIMEVALUE(F724),1)*24,0)</f>
        <v>10.25</v>
      </c>
      <c r="I724" s="24" t="str">
        <f t="shared" si="96"/>
        <v>Late</v>
      </c>
      <c r="J724" s="1" t="str">
        <f t="shared" si="97"/>
        <v>Full Day</v>
      </c>
      <c r="K724" s="1" t="str">
        <f t="shared" si="98"/>
        <v>Full Day</v>
      </c>
      <c r="L724" s="1" t="str">
        <f t="shared" si="99"/>
        <v>✓ Match</v>
      </c>
      <c r="M724" s="24" t="str">
        <f t="shared" si="100"/>
        <v>CLEAN</v>
      </c>
    </row>
    <row r="725" spans="1:13" ht="15" customHeight="1" x14ac:dyDescent="0.35">
      <c r="A725" s="1" t="s">
        <v>45</v>
      </c>
      <c r="B725" s="2" t="s">
        <v>46</v>
      </c>
      <c r="C725" s="1" t="s">
        <v>18</v>
      </c>
      <c r="D725" s="1" t="s">
        <v>88</v>
      </c>
      <c r="E725" s="24" t="s">
        <v>19</v>
      </c>
      <c r="F725" s="1" t="s">
        <v>116</v>
      </c>
      <c r="G725" s="1" t="s">
        <v>97</v>
      </c>
      <c r="H725" s="3">
        <f>IFERROR(MOD(TIMEVALUE(G725)-TIMEVALUE(F725),1)*24,0)</f>
        <v>9</v>
      </c>
      <c r="I725" s="24" t="str">
        <f t="shared" si="96"/>
        <v>Late</v>
      </c>
      <c r="J725" s="1" t="str">
        <f t="shared" si="97"/>
        <v>Full Day</v>
      </c>
      <c r="K725" s="1" t="str">
        <f t="shared" si="98"/>
        <v>Full Day</v>
      </c>
      <c r="L725" s="1" t="str">
        <f t="shared" si="99"/>
        <v>✓ Match</v>
      </c>
      <c r="M725" s="24" t="str">
        <f t="shared" si="100"/>
        <v>CLEAN</v>
      </c>
    </row>
    <row r="726" spans="1:13" ht="15" customHeight="1" x14ac:dyDescent="0.35">
      <c r="A726" s="1" t="s">
        <v>120</v>
      </c>
      <c r="B726" s="2" t="s">
        <v>121</v>
      </c>
      <c r="C726" s="1" t="s">
        <v>11</v>
      </c>
      <c r="D726" s="1" t="s">
        <v>88</v>
      </c>
      <c r="E726" s="24" t="s">
        <v>13</v>
      </c>
      <c r="F726" s="1" t="s">
        <v>14</v>
      </c>
      <c r="G726" s="1" t="s">
        <v>15</v>
      </c>
      <c r="H726" s="3">
        <v>0</v>
      </c>
      <c r="I726" s="24" t="str">
        <f t="shared" si="96"/>
        <v/>
      </c>
      <c r="J726" s="1" t="str">
        <f t="shared" si="97"/>
        <v>Absent</v>
      </c>
      <c r="K726" s="1" t="str">
        <f t="shared" si="98"/>
        <v>N/A</v>
      </c>
      <c r="L726" s="1" t="str">
        <f t="shared" si="99"/>
        <v>⚠ Mismatch</v>
      </c>
      <c r="M726" s="24" t="str">
        <f t="shared" si="100"/>
        <v>REVIEW</v>
      </c>
    </row>
    <row r="727" spans="1:13" ht="15" customHeight="1" x14ac:dyDescent="0.35">
      <c r="A727" s="1" t="s">
        <v>110</v>
      </c>
      <c r="B727" s="2" t="s">
        <v>111</v>
      </c>
      <c r="C727" s="1" t="s">
        <v>68</v>
      </c>
      <c r="D727" s="1" t="s">
        <v>88</v>
      </c>
      <c r="E727" s="24" t="s">
        <v>19</v>
      </c>
      <c r="F727" s="1" t="s">
        <v>84</v>
      </c>
      <c r="G727" s="1" t="s">
        <v>153</v>
      </c>
      <c r="H727" s="3">
        <f>IFERROR(MOD(TIMEVALUE(G727)-TIMEVALUE(F727),1)*24,0)</f>
        <v>11.083333333333332</v>
      </c>
      <c r="I727" s="24" t="str">
        <f t="shared" si="96"/>
        <v>Late</v>
      </c>
      <c r="J727" s="1" t="str">
        <f t="shared" si="97"/>
        <v>Full Day</v>
      </c>
      <c r="K727" s="1" t="str">
        <f t="shared" si="98"/>
        <v>Full Day</v>
      </c>
      <c r="L727" s="1" t="str">
        <f t="shared" si="99"/>
        <v>✓ Match</v>
      </c>
      <c r="M727" s="24" t="str">
        <f t="shared" si="100"/>
        <v>CLEAN</v>
      </c>
    </row>
    <row r="728" spans="1:13" ht="15" customHeight="1" x14ac:dyDescent="0.35">
      <c r="A728" s="1" t="s">
        <v>72</v>
      </c>
      <c r="B728" s="2" t="s">
        <v>73</v>
      </c>
      <c r="C728" s="1" t="s">
        <v>68</v>
      </c>
      <c r="D728" s="1" t="s">
        <v>88</v>
      </c>
      <c r="E728" s="24" t="s">
        <v>19</v>
      </c>
      <c r="F728" s="1" t="s">
        <v>84</v>
      </c>
      <c r="G728" s="1" t="s">
        <v>50</v>
      </c>
      <c r="H728" s="3">
        <f>IFERROR(MOD(TIMEVALUE(G728)-TIMEVALUE(F728),1)*24,0)</f>
        <v>7.75</v>
      </c>
      <c r="I728" s="24" t="str">
        <f t="shared" si="96"/>
        <v>Late</v>
      </c>
      <c r="J728" s="1" t="str">
        <f t="shared" si="97"/>
        <v>Half Day</v>
      </c>
      <c r="K728" s="1" t="str">
        <f t="shared" si="98"/>
        <v>Half Day</v>
      </c>
      <c r="L728" s="1" t="str">
        <f t="shared" si="99"/>
        <v>✓ Match</v>
      </c>
      <c r="M728" s="24" t="str">
        <f t="shared" si="100"/>
        <v>CLEAN</v>
      </c>
    </row>
    <row r="729" spans="1:13" ht="15" customHeight="1" x14ac:dyDescent="0.35">
      <c r="A729" s="1" t="s">
        <v>61</v>
      </c>
      <c r="B729" s="2" t="s">
        <v>62</v>
      </c>
      <c r="C729" s="1" t="s">
        <v>11</v>
      </c>
      <c r="D729" s="1" t="s">
        <v>88</v>
      </c>
      <c r="E729" s="24" t="s">
        <v>13</v>
      </c>
      <c r="F729" s="1" t="s">
        <v>14</v>
      </c>
      <c r="G729" s="1" t="s">
        <v>15</v>
      </c>
      <c r="H729" s="3">
        <v>0</v>
      </c>
      <c r="I729" s="24" t="str">
        <f t="shared" si="96"/>
        <v/>
      </c>
      <c r="J729" s="1" t="str">
        <f t="shared" si="97"/>
        <v>Absent</v>
      </c>
      <c r="K729" s="1" t="str">
        <f t="shared" si="98"/>
        <v>N/A</v>
      </c>
      <c r="L729" s="1" t="str">
        <f t="shared" si="99"/>
        <v>⚠ Mismatch</v>
      </c>
      <c r="M729" s="24" t="str">
        <f t="shared" si="100"/>
        <v>REVIEW</v>
      </c>
    </row>
    <row r="730" spans="1:13" ht="15" customHeight="1" x14ac:dyDescent="0.35">
      <c r="A730" s="1" t="s">
        <v>117</v>
      </c>
      <c r="B730" s="2" t="s">
        <v>118</v>
      </c>
      <c r="C730" s="1" t="s">
        <v>30</v>
      </c>
      <c r="D730" s="1" t="s">
        <v>88</v>
      </c>
      <c r="E730" s="24" t="s">
        <v>13</v>
      </c>
      <c r="F730" s="1" t="s">
        <v>14</v>
      </c>
      <c r="G730" s="1" t="s">
        <v>15</v>
      </c>
      <c r="H730" s="3">
        <v>0</v>
      </c>
      <c r="I730" s="24" t="str">
        <f t="shared" si="96"/>
        <v/>
      </c>
      <c r="J730" s="1" t="str">
        <f t="shared" si="97"/>
        <v>Absent</v>
      </c>
      <c r="K730" s="1" t="str">
        <f t="shared" si="98"/>
        <v>N/A</v>
      </c>
      <c r="L730" s="1" t="str">
        <f t="shared" si="99"/>
        <v>⚠ Mismatch</v>
      </c>
      <c r="M730" s="24" t="str">
        <f t="shared" si="100"/>
        <v>REVIEW</v>
      </c>
    </row>
    <row r="731" spans="1:13" ht="15" customHeight="1" x14ac:dyDescent="0.35">
      <c r="A731" s="1" t="s">
        <v>105</v>
      </c>
      <c r="B731" s="2" t="s">
        <v>106</v>
      </c>
      <c r="C731" s="1" t="s">
        <v>11</v>
      </c>
      <c r="D731" s="1" t="s">
        <v>88</v>
      </c>
      <c r="E731" s="24" t="s">
        <v>19</v>
      </c>
      <c r="F731" s="1" t="s">
        <v>70</v>
      </c>
      <c r="G731" s="1" t="s">
        <v>153</v>
      </c>
      <c r="H731" s="3">
        <f t="shared" ref="H731:H737" si="102">IFERROR(MOD(TIMEVALUE(G731)-TIMEVALUE(F731),1)*24,0)</f>
        <v>9.5833333333333321</v>
      </c>
      <c r="I731" s="24" t="str">
        <f t="shared" si="96"/>
        <v>Late</v>
      </c>
      <c r="J731" s="1" t="str">
        <f t="shared" si="97"/>
        <v>Full Day</v>
      </c>
      <c r="K731" s="1" t="str">
        <f t="shared" si="98"/>
        <v>Full Day</v>
      </c>
      <c r="L731" s="1" t="str">
        <f t="shared" si="99"/>
        <v>✓ Match</v>
      </c>
      <c r="M731" s="24" t="str">
        <f t="shared" si="100"/>
        <v>CLEAN</v>
      </c>
    </row>
    <row r="732" spans="1:13" ht="15" customHeight="1" x14ac:dyDescent="0.35">
      <c r="A732" s="1" t="s">
        <v>28</v>
      </c>
      <c r="B732" s="2" t="s">
        <v>29</v>
      </c>
      <c r="C732" s="1" t="s">
        <v>30</v>
      </c>
      <c r="D732" s="1" t="s">
        <v>88</v>
      </c>
      <c r="E732" s="24" t="s">
        <v>19</v>
      </c>
      <c r="F732" s="1" t="s">
        <v>138</v>
      </c>
      <c r="G732" s="1" t="s">
        <v>85</v>
      </c>
      <c r="H732" s="3">
        <f t="shared" si="102"/>
        <v>7.0000000000000018</v>
      </c>
      <c r="I732" s="24" t="str">
        <f t="shared" si="96"/>
        <v>Late</v>
      </c>
      <c r="J732" s="1" t="str">
        <f t="shared" si="97"/>
        <v>Half Day</v>
      </c>
      <c r="K732" s="1" t="str">
        <f t="shared" si="98"/>
        <v>Half Day</v>
      </c>
      <c r="L732" s="1" t="str">
        <f t="shared" si="99"/>
        <v>✓ Match</v>
      </c>
      <c r="M732" s="24" t="str">
        <f t="shared" si="100"/>
        <v>CLEAN</v>
      </c>
    </row>
    <row r="733" spans="1:13" ht="15" customHeight="1" x14ac:dyDescent="0.35">
      <c r="A733" s="1" t="s">
        <v>53</v>
      </c>
      <c r="B733" s="2" t="s">
        <v>54</v>
      </c>
      <c r="C733" s="1" t="s">
        <v>18</v>
      </c>
      <c r="D733" s="1" t="s">
        <v>88</v>
      </c>
      <c r="E733" s="24" t="s">
        <v>19</v>
      </c>
      <c r="F733" s="1" t="s">
        <v>32</v>
      </c>
      <c r="G733" s="1" t="s">
        <v>44</v>
      </c>
      <c r="H733" s="3">
        <f t="shared" si="102"/>
        <v>10.333333333333336</v>
      </c>
      <c r="I733" s="24" t="str">
        <f t="shared" si="96"/>
        <v>On Time</v>
      </c>
      <c r="J733" s="1" t="str">
        <f t="shared" si="97"/>
        <v>Full Day</v>
      </c>
      <c r="K733" s="1" t="str">
        <f t="shared" si="98"/>
        <v>Full Day</v>
      </c>
      <c r="L733" s="1" t="str">
        <f t="shared" si="99"/>
        <v>✓ Match</v>
      </c>
      <c r="M733" s="24" t="str">
        <f t="shared" si="100"/>
        <v>CLEAN</v>
      </c>
    </row>
    <row r="734" spans="1:13" ht="15" customHeight="1" x14ac:dyDescent="0.35">
      <c r="A734" s="1" t="s">
        <v>98</v>
      </c>
      <c r="B734" s="2" t="s">
        <v>99</v>
      </c>
      <c r="C734" s="1" t="s">
        <v>18</v>
      </c>
      <c r="D734" s="1" t="s">
        <v>88</v>
      </c>
      <c r="E734" s="24" t="s">
        <v>19</v>
      </c>
      <c r="F734" s="1" t="s">
        <v>100</v>
      </c>
      <c r="G734" s="1" t="s">
        <v>78</v>
      </c>
      <c r="H734" s="3">
        <f t="shared" si="102"/>
        <v>9.7500000000000018</v>
      </c>
      <c r="I734" s="24" t="str">
        <f t="shared" si="96"/>
        <v>On Time</v>
      </c>
      <c r="J734" s="1" t="str">
        <f t="shared" si="97"/>
        <v>Full Day</v>
      </c>
      <c r="K734" s="1" t="str">
        <f t="shared" si="98"/>
        <v>Full Day</v>
      </c>
      <c r="L734" s="1" t="str">
        <f t="shared" si="99"/>
        <v>✓ Match</v>
      </c>
      <c r="M734" s="24" t="str">
        <f t="shared" si="100"/>
        <v>CLEAN</v>
      </c>
    </row>
    <row r="735" spans="1:13" ht="15" customHeight="1" x14ac:dyDescent="0.35">
      <c r="A735" s="1" t="s">
        <v>101</v>
      </c>
      <c r="B735" s="2" t="s">
        <v>102</v>
      </c>
      <c r="C735" s="1" t="s">
        <v>30</v>
      </c>
      <c r="D735" s="1" t="s">
        <v>88</v>
      </c>
      <c r="E735" s="24" t="s">
        <v>19</v>
      </c>
      <c r="F735" s="1" t="s">
        <v>87</v>
      </c>
      <c r="G735" s="1" t="s">
        <v>27</v>
      </c>
      <c r="H735" s="3">
        <f t="shared" si="102"/>
        <v>9.7500000000000018</v>
      </c>
      <c r="I735" s="24" t="str">
        <f t="shared" si="96"/>
        <v>Late</v>
      </c>
      <c r="J735" s="1" t="str">
        <f t="shared" si="97"/>
        <v>Full Day</v>
      </c>
      <c r="K735" s="1" t="str">
        <f t="shared" si="98"/>
        <v>Full Day</v>
      </c>
      <c r="L735" s="1" t="str">
        <f t="shared" si="99"/>
        <v>✓ Match</v>
      </c>
      <c r="M735" s="24" t="str">
        <f t="shared" si="100"/>
        <v>CLEAN</v>
      </c>
    </row>
    <row r="736" spans="1:13" ht="15" customHeight="1" x14ac:dyDescent="0.35">
      <c r="A736" s="1" t="s">
        <v>150</v>
      </c>
      <c r="B736" s="2" t="s">
        <v>151</v>
      </c>
      <c r="C736" s="1" t="s">
        <v>68</v>
      </c>
      <c r="D736" s="1" t="s">
        <v>88</v>
      </c>
      <c r="E736" s="24" t="s">
        <v>19</v>
      </c>
      <c r="F736" s="1" t="s">
        <v>128</v>
      </c>
      <c r="G736" s="1" t="s">
        <v>123</v>
      </c>
      <c r="H736" s="3">
        <f t="shared" si="102"/>
        <v>10.666666666666668</v>
      </c>
      <c r="I736" s="24" t="str">
        <f t="shared" si="96"/>
        <v>Late</v>
      </c>
      <c r="J736" s="1" t="str">
        <f t="shared" si="97"/>
        <v>Full Day</v>
      </c>
      <c r="K736" s="1" t="str">
        <f t="shared" si="98"/>
        <v>Full Day</v>
      </c>
      <c r="L736" s="1" t="str">
        <f t="shared" si="99"/>
        <v>✓ Match</v>
      </c>
      <c r="M736" s="24" t="str">
        <f t="shared" si="100"/>
        <v>CLEAN</v>
      </c>
    </row>
    <row r="737" spans="1:13" ht="15" customHeight="1" x14ac:dyDescent="0.35">
      <c r="A737" s="1" t="s">
        <v>47</v>
      </c>
      <c r="B737" s="2" t="s">
        <v>48</v>
      </c>
      <c r="C737" s="1" t="s">
        <v>18</v>
      </c>
      <c r="D737" s="1" t="s">
        <v>88</v>
      </c>
      <c r="E737" s="24" t="s">
        <v>19</v>
      </c>
      <c r="F737" s="1" t="s">
        <v>89</v>
      </c>
      <c r="G737" s="1" t="s">
        <v>123</v>
      </c>
      <c r="H737" s="3">
        <f t="shared" si="102"/>
        <v>10.166666666666666</v>
      </c>
      <c r="I737" s="24" t="str">
        <f t="shared" si="96"/>
        <v>Late</v>
      </c>
      <c r="J737" s="1" t="str">
        <f t="shared" si="97"/>
        <v>Full Day</v>
      </c>
      <c r="K737" s="1" t="str">
        <f t="shared" si="98"/>
        <v>Full Day</v>
      </c>
      <c r="L737" s="1" t="str">
        <f t="shared" si="99"/>
        <v>✓ Match</v>
      </c>
      <c r="M737" s="24" t="str">
        <f t="shared" si="100"/>
        <v>CLEAN</v>
      </c>
    </row>
    <row r="738" spans="1:13" ht="15" customHeight="1" x14ac:dyDescent="0.35">
      <c r="A738" s="1" t="s">
        <v>91</v>
      </c>
      <c r="B738" s="2" t="s">
        <v>92</v>
      </c>
      <c r="C738" s="1" t="s">
        <v>18</v>
      </c>
      <c r="D738" s="1" t="s">
        <v>88</v>
      </c>
      <c r="E738" s="24" t="s">
        <v>13</v>
      </c>
      <c r="F738" s="1" t="s">
        <v>14</v>
      </c>
      <c r="G738" s="1" t="s">
        <v>15</v>
      </c>
      <c r="H738" s="3">
        <v>0</v>
      </c>
      <c r="I738" s="24" t="str">
        <f t="shared" si="96"/>
        <v/>
      </c>
      <c r="J738" s="1" t="str">
        <f t="shared" si="97"/>
        <v>Absent</v>
      </c>
      <c r="K738" s="1" t="str">
        <f t="shared" si="98"/>
        <v>N/A</v>
      </c>
      <c r="L738" s="1" t="str">
        <f t="shared" si="99"/>
        <v>⚠ Mismatch</v>
      </c>
      <c r="M738" s="24" t="str">
        <f t="shared" si="100"/>
        <v>REVIEW</v>
      </c>
    </row>
    <row r="739" spans="1:13" ht="15" customHeight="1" x14ac:dyDescent="0.35">
      <c r="A739" s="1" t="s">
        <v>112</v>
      </c>
      <c r="B739" s="2" t="s">
        <v>113</v>
      </c>
      <c r="C739" s="1" t="s">
        <v>30</v>
      </c>
      <c r="D739" s="1" t="s">
        <v>88</v>
      </c>
      <c r="E739" s="24" t="s">
        <v>19</v>
      </c>
      <c r="F739" s="1" t="s">
        <v>43</v>
      </c>
      <c r="G739" s="1" t="s">
        <v>144</v>
      </c>
      <c r="H739" s="3">
        <f>IFERROR(MOD(TIMEVALUE(G739)-TIMEVALUE(F739),1)*24,0)</f>
        <v>8</v>
      </c>
      <c r="I739" s="24" t="str">
        <f t="shared" si="96"/>
        <v>On Time</v>
      </c>
      <c r="J739" s="1" t="str">
        <f t="shared" si="97"/>
        <v>Full Day</v>
      </c>
      <c r="K739" s="1" t="str">
        <f t="shared" si="98"/>
        <v>Full Day</v>
      </c>
      <c r="L739" s="1" t="str">
        <f t="shared" si="99"/>
        <v>✓ Match</v>
      </c>
      <c r="M739" s="24" t="str">
        <f t="shared" si="100"/>
        <v>CLEAN</v>
      </c>
    </row>
    <row r="740" spans="1:13" ht="15" customHeight="1" x14ac:dyDescent="0.35">
      <c r="A740" s="1" t="s">
        <v>130</v>
      </c>
      <c r="B740" s="2" t="s">
        <v>131</v>
      </c>
      <c r="C740" s="1" t="s">
        <v>11</v>
      </c>
      <c r="D740" s="1" t="s">
        <v>88</v>
      </c>
      <c r="E740" s="24" t="s">
        <v>19</v>
      </c>
      <c r="F740" s="1" t="s">
        <v>122</v>
      </c>
      <c r="G740" s="1" t="s">
        <v>27</v>
      </c>
      <c r="H740" s="3">
        <f>IFERROR(MOD(TIMEVALUE(G740)-TIMEVALUE(F740),1)*24,0)</f>
        <v>11.416666666666668</v>
      </c>
      <c r="I740" s="24" t="str">
        <f t="shared" si="96"/>
        <v>Late</v>
      </c>
      <c r="J740" s="1" t="str">
        <f t="shared" si="97"/>
        <v>Full Day</v>
      </c>
      <c r="K740" s="1" t="str">
        <f t="shared" si="98"/>
        <v>Full Day</v>
      </c>
      <c r="L740" s="1" t="str">
        <f t="shared" si="99"/>
        <v>✓ Match</v>
      </c>
      <c r="M740" s="24" t="str">
        <f t="shared" si="100"/>
        <v>CLEAN</v>
      </c>
    </row>
    <row r="741" spans="1:13" ht="15" customHeight="1" x14ac:dyDescent="0.35">
      <c r="A741" s="1" t="s">
        <v>142</v>
      </c>
      <c r="B741" s="2" t="s">
        <v>143</v>
      </c>
      <c r="C741" s="1" t="s">
        <v>18</v>
      </c>
      <c r="D741" s="1" t="s">
        <v>88</v>
      </c>
      <c r="E741" s="24" t="s">
        <v>19</v>
      </c>
      <c r="F741" s="1" t="s">
        <v>128</v>
      </c>
      <c r="G741" s="1" t="s">
        <v>27</v>
      </c>
      <c r="H741" s="3">
        <f>IFERROR(MOD(TIMEVALUE(G741)-TIMEVALUE(F741),1)*24,0)</f>
        <v>11.250000000000002</v>
      </c>
      <c r="I741" s="24" t="str">
        <f t="shared" si="96"/>
        <v>Late</v>
      </c>
      <c r="J741" s="1" t="str">
        <f t="shared" si="97"/>
        <v>Full Day</v>
      </c>
      <c r="K741" s="1" t="str">
        <f t="shared" si="98"/>
        <v>Full Day</v>
      </c>
      <c r="L741" s="1" t="str">
        <f t="shared" si="99"/>
        <v>✓ Match</v>
      </c>
      <c r="M741" s="24" t="str">
        <f t="shared" si="100"/>
        <v>CLEAN</v>
      </c>
    </row>
    <row r="742" spans="1:13" ht="15" customHeight="1" x14ac:dyDescent="0.35">
      <c r="A742" s="1" t="s">
        <v>82</v>
      </c>
      <c r="B742" s="2" t="s">
        <v>83</v>
      </c>
      <c r="C742" s="1" t="s">
        <v>68</v>
      </c>
      <c r="D742" s="1" t="s">
        <v>88</v>
      </c>
      <c r="E742" s="24" t="s">
        <v>19</v>
      </c>
      <c r="F742" s="1" t="s">
        <v>137</v>
      </c>
      <c r="G742" s="1" t="s">
        <v>109</v>
      </c>
      <c r="H742" s="3">
        <f>IFERROR(MOD(TIMEVALUE(G742)-TIMEVALUE(F742),1)*24,0)</f>
        <v>8.1666666666666661</v>
      </c>
      <c r="I742" s="24" t="str">
        <f t="shared" si="96"/>
        <v>Late</v>
      </c>
      <c r="J742" s="1" t="str">
        <f t="shared" si="97"/>
        <v>Full Day</v>
      </c>
      <c r="K742" s="1" t="str">
        <f t="shared" si="98"/>
        <v>Full Day</v>
      </c>
      <c r="L742" s="1" t="str">
        <f t="shared" si="99"/>
        <v>✓ Match</v>
      </c>
      <c r="M742" s="24" t="str">
        <f t="shared" si="100"/>
        <v>CLEAN</v>
      </c>
    </row>
    <row r="743" spans="1:13" ht="15" customHeight="1" x14ac:dyDescent="0.35">
      <c r="A743" s="1" t="s">
        <v>95</v>
      </c>
      <c r="B743" s="2" t="s">
        <v>96</v>
      </c>
      <c r="C743" s="1" t="s">
        <v>68</v>
      </c>
      <c r="D743" s="1" t="s">
        <v>88</v>
      </c>
      <c r="E743" s="24" t="s">
        <v>13</v>
      </c>
      <c r="F743" s="1" t="s">
        <v>14</v>
      </c>
      <c r="G743" s="1" t="s">
        <v>15</v>
      </c>
      <c r="H743" s="3">
        <v>0</v>
      </c>
      <c r="I743" s="24" t="str">
        <f t="shared" si="96"/>
        <v/>
      </c>
      <c r="J743" s="1" t="str">
        <f t="shared" si="97"/>
        <v>Absent</v>
      </c>
      <c r="K743" s="1" t="str">
        <f t="shared" si="98"/>
        <v>N/A</v>
      </c>
      <c r="L743" s="1" t="str">
        <f t="shared" si="99"/>
        <v>⚠ Mismatch</v>
      </c>
      <c r="M743" s="24" t="str">
        <f t="shared" si="100"/>
        <v>REVIEW</v>
      </c>
    </row>
    <row r="744" spans="1:13" ht="15" customHeight="1" x14ac:dyDescent="0.35">
      <c r="A744" s="1" t="s">
        <v>124</v>
      </c>
      <c r="B744" s="2" t="s">
        <v>125</v>
      </c>
      <c r="C744" s="1" t="s">
        <v>68</v>
      </c>
      <c r="D744" s="1" t="s">
        <v>88</v>
      </c>
      <c r="E744" s="24" t="s">
        <v>19</v>
      </c>
      <c r="F744" s="1" t="s">
        <v>20</v>
      </c>
      <c r="G744" s="1" t="s">
        <v>35</v>
      </c>
      <c r="H744" s="3">
        <f>IFERROR(MOD(TIMEVALUE(G744)-TIMEVALUE(F744),1)*24,0)</f>
        <v>10.416666666666668</v>
      </c>
      <c r="I744" s="24" t="str">
        <f t="shared" si="96"/>
        <v>On Time</v>
      </c>
      <c r="J744" s="1" t="str">
        <f t="shared" si="97"/>
        <v>Full Day</v>
      </c>
      <c r="K744" s="1" t="str">
        <f t="shared" si="98"/>
        <v>Full Day</v>
      </c>
      <c r="L744" s="1" t="str">
        <f t="shared" si="99"/>
        <v>✓ Match</v>
      </c>
      <c r="M744" s="24" t="str">
        <f t="shared" si="100"/>
        <v>CLEAN</v>
      </c>
    </row>
    <row r="745" spans="1:13" ht="15" customHeight="1" x14ac:dyDescent="0.35">
      <c r="A745" s="1" t="s">
        <v>158</v>
      </c>
      <c r="B745" s="2" t="s">
        <v>159</v>
      </c>
      <c r="C745" s="1" t="s">
        <v>11</v>
      </c>
      <c r="D745" s="1" t="s">
        <v>88</v>
      </c>
      <c r="E745" s="24" t="s">
        <v>19</v>
      </c>
      <c r="F745" s="1" t="s">
        <v>64</v>
      </c>
      <c r="G745" s="1" t="s">
        <v>165</v>
      </c>
      <c r="H745" s="3">
        <f>IFERROR(MOD(TIMEVALUE(G745)-TIMEVALUE(F745),1)*24,0)</f>
        <v>8.1666666666666679</v>
      </c>
      <c r="I745" s="24" t="str">
        <f t="shared" si="96"/>
        <v>On Time</v>
      </c>
      <c r="J745" s="1" t="str">
        <f t="shared" si="97"/>
        <v>Full Day</v>
      </c>
      <c r="K745" s="1" t="str">
        <f t="shared" si="98"/>
        <v>Full Day</v>
      </c>
      <c r="L745" s="1" t="str">
        <f t="shared" si="99"/>
        <v>✓ Match</v>
      </c>
      <c r="M745" s="24" t="str">
        <f t="shared" si="100"/>
        <v>CLEAN</v>
      </c>
    </row>
    <row r="746" spans="1:13" ht="15" customHeight="1" x14ac:dyDescent="0.35">
      <c r="A746" s="1" t="s">
        <v>9</v>
      </c>
      <c r="B746" s="2" t="s">
        <v>10</v>
      </c>
      <c r="C746" s="1" t="s">
        <v>11</v>
      </c>
      <c r="D746" s="1" t="s">
        <v>88</v>
      </c>
      <c r="E746" s="24" t="s">
        <v>19</v>
      </c>
      <c r="F746" s="1" t="s">
        <v>140</v>
      </c>
      <c r="G746" s="1" t="s">
        <v>44</v>
      </c>
      <c r="H746" s="3">
        <f>IFERROR(MOD(TIMEVALUE(G746)-TIMEVALUE(F746),1)*24,0)</f>
        <v>8.75</v>
      </c>
      <c r="I746" s="24" t="str">
        <f t="shared" si="96"/>
        <v>Late</v>
      </c>
      <c r="J746" s="1" t="str">
        <f t="shared" si="97"/>
        <v>Full Day</v>
      </c>
      <c r="K746" s="1" t="str">
        <f t="shared" si="98"/>
        <v>Full Day</v>
      </c>
      <c r="L746" s="1" t="str">
        <f t="shared" si="99"/>
        <v>✓ Match</v>
      </c>
      <c r="M746" s="24" t="str">
        <f t="shared" si="100"/>
        <v>CLEAN</v>
      </c>
    </row>
    <row r="747" spans="1:13" ht="15" customHeight="1" x14ac:dyDescent="0.35">
      <c r="A747" s="1" t="s">
        <v>22</v>
      </c>
      <c r="B747" s="2" t="s">
        <v>23</v>
      </c>
      <c r="C747" s="1" t="s">
        <v>24</v>
      </c>
      <c r="D747" s="1" t="s">
        <v>88</v>
      </c>
      <c r="E747" s="24" t="s">
        <v>19</v>
      </c>
      <c r="F747" s="1" t="s">
        <v>20</v>
      </c>
      <c r="G747" s="1" t="s">
        <v>94</v>
      </c>
      <c r="H747" s="3">
        <f>IFERROR(MOD(TIMEVALUE(G747)-TIMEVALUE(F747),1)*24,0)</f>
        <v>10.500000000000002</v>
      </c>
      <c r="I747" s="24" t="str">
        <f t="shared" si="96"/>
        <v>On Time</v>
      </c>
      <c r="J747" s="1" t="str">
        <f t="shared" si="97"/>
        <v>Full Day</v>
      </c>
      <c r="K747" s="1" t="str">
        <f t="shared" si="98"/>
        <v>Full Day</v>
      </c>
      <c r="L747" s="1" t="str">
        <f t="shared" si="99"/>
        <v>✓ Match</v>
      </c>
      <c r="M747" s="24" t="str">
        <f t="shared" si="100"/>
        <v>CLEAN</v>
      </c>
    </row>
    <row r="748" spans="1:13" ht="15" customHeight="1" x14ac:dyDescent="0.35">
      <c r="A748" s="1" t="s">
        <v>57</v>
      </c>
      <c r="B748" s="2" t="s">
        <v>58</v>
      </c>
      <c r="C748" s="1" t="s">
        <v>30</v>
      </c>
      <c r="D748" s="1" t="s">
        <v>88</v>
      </c>
      <c r="E748" s="24" t="s">
        <v>19</v>
      </c>
      <c r="F748" s="1" t="s">
        <v>122</v>
      </c>
      <c r="G748" s="1" t="s">
        <v>21</v>
      </c>
      <c r="H748" s="3">
        <f>IFERROR(MOD(TIMEVALUE(G748)-TIMEVALUE(F748),1)*24,0)</f>
        <v>10.166666666666666</v>
      </c>
      <c r="I748" s="24" t="str">
        <f t="shared" si="96"/>
        <v>Late</v>
      </c>
      <c r="J748" s="1" t="str">
        <f t="shared" si="97"/>
        <v>Full Day</v>
      </c>
      <c r="K748" s="1" t="str">
        <f t="shared" si="98"/>
        <v>Full Day</v>
      </c>
      <c r="L748" s="1" t="str">
        <f t="shared" si="99"/>
        <v>✓ Match</v>
      </c>
      <c r="M748" s="24" t="str">
        <f t="shared" si="100"/>
        <v>CLEAN</v>
      </c>
    </row>
    <row r="749" spans="1:13" ht="15" customHeight="1" x14ac:dyDescent="0.35">
      <c r="A749" s="1" t="s">
        <v>66</v>
      </c>
      <c r="B749" s="2" t="s">
        <v>67</v>
      </c>
      <c r="C749" s="1" t="s">
        <v>68</v>
      </c>
      <c r="D749" s="1" t="s">
        <v>88</v>
      </c>
      <c r="E749" s="24" t="s">
        <v>13</v>
      </c>
      <c r="F749" s="1" t="s">
        <v>14</v>
      </c>
      <c r="G749" s="1" t="s">
        <v>15</v>
      </c>
      <c r="H749" s="3">
        <v>0</v>
      </c>
      <c r="I749" s="24" t="str">
        <f t="shared" si="96"/>
        <v/>
      </c>
      <c r="J749" s="1" t="str">
        <f t="shared" si="97"/>
        <v>Absent</v>
      </c>
      <c r="K749" s="1" t="str">
        <f t="shared" si="98"/>
        <v>N/A</v>
      </c>
      <c r="L749" s="1" t="str">
        <f t="shared" si="99"/>
        <v>⚠ Mismatch</v>
      </c>
      <c r="M749" s="24" t="str">
        <f t="shared" si="100"/>
        <v>REVIEW</v>
      </c>
    </row>
    <row r="750" spans="1:13" ht="15" customHeight="1" x14ac:dyDescent="0.35">
      <c r="A750" s="1" t="s">
        <v>40</v>
      </c>
      <c r="B750" s="2" t="s">
        <v>41</v>
      </c>
      <c r="C750" s="1" t="s">
        <v>24</v>
      </c>
      <c r="D750" s="1" t="s">
        <v>88</v>
      </c>
      <c r="E750" s="24" t="s">
        <v>19</v>
      </c>
      <c r="F750" s="1" t="s">
        <v>100</v>
      </c>
      <c r="G750" s="1" t="s">
        <v>165</v>
      </c>
      <c r="H750" s="3">
        <f>IFERROR(MOD(TIMEVALUE(G750)-TIMEVALUE(F750),1)*24,0)</f>
        <v>8.2500000000000018</v>
      </c>
      <c r="I750" s="24" t="str">
        <f t="shared" si="96"/>
        <v>On Time</v>
      </c>
      <c r="J750" s="1" t="str">
        <f t="shared" si="97"/>
        <v>Full Day</v>
      </c>
      <c r="K750" s="1" t="str">
        <f t="shared" si="98"/>
        <v>Full Day</v>
      </c>
      <c r="L750" s="1" t="str">
        <f t="shared" si="99"/>
        <v>✓ Match</v>
      </c>
      <c r="M750" s="24" t="str">
        <f t="shared" si="100"/>
        <v>CLEAN</v>
      </c>
    </row>
    <row r="751" spans="1:13" ht="15" customHeight="1" x14ac:dyDescent="0.35">
      <c r="A751" s="1" t="s">
        <v>16</v>
      </c>
      <c r="B751" s="2" t="s">
        <v>17</v>
      </c>
      <c r="C751" s="1" t="s">
        <v>18</v>
      </c>
      <c r="D751" s="1" t="s">
        <v>88</v>
      </c>
      <c r="E751" s="24" t="s">
        <v>19</v>
      </c>
      <c r="F751" s="1" t="s">
        <v>89</v>
      </c>
      <c r="G751" s="1" t="s">
        <v>161</v>
      </c>
      <c r="H751" s="3">
        <f>IFERROR(MOD(TIMEVALUE(G751)-TIMEVALUE(F751),1)*24,0)</f>
        <v>8.1666666666666679</v>
      </c>
      <c r="I751" s="24" t="str">
        <f t="shared" si="96"/>
        <v>Late</v>
      </c>
      <c r="J751" s="1" t="str">
        <f t="shared" si="97"/>
        <v>Full Day</v>
      </c>
      <c r="K751" s="1" t="str">
        <f t="shared" si="98"/>
        <v>Full Day</v>
      </c>
      <c r="L751" s="1" t="str">
        <f t="shared" si="99"/>
        <v>✓ Match</v>
      </c>
      <c r="M751" s="24" t="str">
        <f t="shared" si="100"/>
        <v>CLEAN</v>
      </c>
    </row>
    <row r="752" spans="1:13" ht="15" customHeight="1" x14ac:dyDescent="0.35">
      <c r="A752" s="1" t="s">
        <v>134</v>
      </c>
      <c r="B752" s="2" t="s">
        <v>135</v>
      </c>
      <c r="C752" s="1" t="s">
        <v>68</v>
      </c>
      <c r="D752" s="1" t="s">
        <v>88</v>
      </c>
      <c r="E752" s="24" t="s">
        <v>19</v>
      </c>
      <c r="F752" s="1" t="s">
        <v>32</v>
      </c>
      <c r="G752" s="1" t="s">
        <v>154</v>
      </c>
      <c r="H752" s="3">
        <f>IFERROR(MOD(TIMEVALUE(G752)-TIMEVALUE(F752),1)*24,0)</f>
        <v>8.1666666666666661</v>
      </c>
      <c r="I752" s="24" t="str">
        <f t="shared" si="96"/>
        <v>On Time</v>
      </c>
      <c r="J752" s="1" t="str">
        <f t="shared" si="97"/>
        <v>Full Day</v>
      </c>
      <c r="K752" s="1" t="str">
        <f t="shared" si="98"/>
        <v>Full Day</v>
      </c>
      <c r="L752" s="1" t="str">
        <f t="shared" si="99"/>
        <v>✓ Match</v>
      </c>
      <c r="M752" s="24" t="str">
        <f t="shared" si="100"/>
        <v>CLEAN</v>
      </c>
    </row>
    <row r="753" spans="1:13" ht="15" customHeight="1" x14ac:dyDescent="0.35">
      <c r="A753" s="1"/>
      <c r="B753" s="2"/>
      <c r="C753" s="1"/>
      <c r="D753" s="1"/>
      <c r="E753" s="21"/>
      <c r="F753" s="1"/>
      <c r="G753" s="1"/>
      <c r="H753" s="3"/>
      <c r="I753" s="1"/>
      <c r="J753" s="1"/>
      <c r="K753" s="1"/>
      <c r="L753" s="1"/>
      <c r="M753" s="1"/>
    </row>
    <row r="754" spans="1:13" x14ac:dyDescent="0.35">
      <c r="A754" s="1"/>
      <c r="B754" s="2"/>
      <c r="C754" s="1"/>
      <c r="D754" s="1"/>
      <c r="E754" s="21"/>
      <c r="F754" s="1"/>
      <c r="G754" s="1"/>
      <c r="H754" s="3"/>
      <c r="I754" s="1"/>
      <c r="J754" s="1"/>
      <c r="K754" s="1"/>
      <c r="L754" s="1"/>
      <c r="M754" s="1"/>
    </row>
    <row r="755" spans="1:13" x14ac:dyDescent="0.35">
      <c r="A755" s="1"/>
      <c r="B755" s="2"/>
      <c r="C755" s="1"/>
      <c r="D755" s="1"/>
      <c r="E755" s="21"/>
      <c r="F755" s="1"/>
      <c r="G755" s="1"/>
      <c r="H755" s="3"/>
      <c r="I755" s="1"/>
      <c r="J755" s="1"/>
      <c r="K755" s="1"/>
      <c r="L755" s="1"/>
      <c r="M755" s="1"/>
    </row>
  </sheetData>
  <autoFilter ref="A2:M752" xr:uid="{00000000-0009-0000-0000-000002000000}">
    <sortState xmlns:xlrd2="http://schemas.microsoft.com/office/spreadsheetml/2017/richdata2" ref="A3:M752">
      <sortCondition ref="D3:D752"/>
    </sortState>
  </autoFilter>
  <mergeCells count="1">
    <mergeCell ref="A1:M1"/>
  </mergeCells>
  <conditionalFormatting sqref="E1:E1048576">
    <cfRule type="cellIs" dxfId="11" priority="13" operator="equal">
      <formula>"Present"</formula>
    </cfRule>
    <cfRule type="cellIs" dxfId="10" priority="12" operator="equal">
      <formula>"Present"</formula>
    </cfRule>
    <cfRule type="cellIs" dxfId="9" priority="11" operator="equal">
      <formula>"Absent"</formula>
    </cfRule>
    <cfRule type="cellIs" dxfId="8" priority="10" operator="equal">
      <formula>"Work From Home"</formula>
    </cfRule>
    <cfRule type="cellIs" dxfId="7" priority="9" operator="equal">
      <formula>"Present"</formula>
    </cfRule>
  </conditionalFormatting>
  <conditionalFormatting sqref="I1:I1048576">
    <cfRule type="cellIs" dxfId="6" priority="8" operator="equal">
      <formula>"On Time"</formula>
    </cfRule>
    <cfRule type="cellIs" dxfId="5" priority="6" operator="equal">
      <formula>"Late"</formula>
    </cfRule>
    <cfRule type="cellIs" dxfId="4" priority="3" operator="equal">
      <formula>"On Time"</formula>
    </cfRule>
  </conditionalFormatting>
  <conditionalFormatting sqref="H1:H1048576">
    <cfRule type="cellIs" dxfId="3" priority="5" operator="equal">
      <formula>"&lt; 8"</formula>
    </cfRule>
    <cfRule type="cellIs" dxfId="2" priority="4" operator="equal">
      <formula>"&lt;8"</formula>
    </cfRule>
  </conditionalFormatting>
  <conditionalFormatting sqref="M1:M1048576">
    <cfRule type="cellIs" dxfId="1" priority="2" operator="equal">
      <formula>"CLEAN"</formula>
    </cfRule>
    <cfRule type="cellIs" dxfId="0" priority="1" operator="equal">
      <formula>"REVIEW"</formula>
    </cfRule>
  </conditionalFormatting>
  <dataValidations count="2">
    <dataValidation type="list" allowBlank="1" showInputMessage="1" showErrorMessage="1" promptTitle="Attendance Status" prompt="Attendance Status_x000a_Select only: Present, Absent, or Work From Home." sqref="E1:E1048576" xr:uid="{3796B6E0-1CB2-4F6B-9959-7C382B65618B}">
      <formula1>"Present,Absent,Work From Home"</formula1>
    </dataValidation>
    <dataValidation type="list" allowBlank="1" showInputMessage="1" showErrorMessage="1" promptTitle="Department Selection" prompt="Select only: IT, HR, Finance, Sales, or Operations." sqref="C1:C1048576" xr:uid="{452AF84C-541A-422B-9C03-088112BC7164}">
      <formula1>"IT,HR,Finance,Sales,Operations"</formula1>
    </dataValidation>
  </dataValidation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13FFD-1756-4BBC-A513-40B5033BDD2C}">
  <sheetPr>
    <tabColor rgb="FF3366FF"/>
  </sheetPr>
  <dimension ref="A3:B9"/>
  <sheetViews>
    <sheetView showGridLines="0" workbookViewId="0">
      <selection activeCell="C3" sqref="C3"/>
    </sheetView>
  </sheetViews>
  <sheetFormatPr defaultRowHeight="14.5" x14ac:dyDescent="0.35"/>
  <cols>
    <col min="1" max="1" width="12.36328125" bestFit="1" customWidth="1"/>
    <col min="2" max="2" width="16.1796875" bestFit="1" customWidth="1"/>
  </cols>
  <sheetData>
    <row r="3" spans="1:2" x14ac:dyDescent="0.35">
      <c r="A3" s="5" t="s">
        <v>174</v>
      </c>
      <c r="B3" t="s">
        <v>176</v>
      </c>
    </row>
    <row r="4" spans="1:2" x14ac:dyDescent="0.35">
      <c r="A4" s="6" t="s">
        <v>68</v>
      </c>
      <c r="B4" s="26">
        <v>225</v>
      </c>
    </row>
    <row r="5" spans="1:2" x14ac:dyDescent="0.35">
      <c r="A5" s="6" t="s">
        <v>18</v>
      </c>
      <c r="B5" s="26">
        <v>200</v>
      </c>
    </row>
    <row r="6" spans="1:2" x14ac:dyDescent="0.35">
      <c r="A6" s="6" t="s">
        <v>11</v>
      </c>
      <c r="B6" s="26">
        <v>150</v>
      </c>
    </row>
    <row r="7" spans="1:2" x14ac:dyDescent="0.35">
      <c r="A7" s="6" t="s">
        <v>30</v>
      </c>
      <c r="B7" s="26">
        <v>125</v>
      </c>
    </row>
    <row r="8" spans="1:2" x14ac:dyDescent="0.35">
      <c r="A8" s="6" t="s">
        <v>24</v>
      </c>
      <c r="B8" s="26">
        <v>50</v>
      </c>
    </row>
    <row r="9" spans="1:2" x14ac:dyDescent="0.35">
      <c r="A9" s="6" t="s">
        <v>175</v>
      </c>
      <c r="B9" s="26">
        <v>750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24577-A17B-4DBE-BA31-63C63AD13949}">
  <sheetPr>
    <tabColor theme="7"/>
  </sheetPr>
  <dimension ref="A3:B7"/>
  <sheetViews>
    <sheetView showGridLines="0" workbookViewId="0">
      <selection activeCell="O16" sqref="O16"/>
    </sheetView>
  </sheetViews>
  <sheetFormatPr defaultRowHeight="14.5" x14ac:dyDescent="0.35"/>
  <cols>
    <col min="1" max="1" width="15.7265625" bestFit="1" customWidth="1"/>
    <col min="2" max="2" width="22.36328125" bestFit="1" customWidth="1"/>
  </cols>
  <sheetData>
    <row r="3" spans="1:2" x14ac:dyDescent="0.35">
      <c r="A3" s="5" t="s">
        <v>174</v>
      </c>
      <c r="B3" t="s">
        <v>177</v>
      </c>
    </row>
    <row r="4" spans="1:2" x14ac:dyDescent="0.35">
      <c r="A4" s="6" t="s">
        <v>13</v>
      </c>
      <c r="B4" s="26">
        <v>152</v>
      </c>
    </row>
    <row r="5" spans="1:2" x14ac:dyDescent="0.35">
      <c r="A5" s="6" t="s">
        <v>19</v>
      </c>
      <c r="B5" s="26">
        <v>525</v>
      </c>
    </row>
    <row r="6" spans="1:2" x14ac:dyDescent="0.35">
      <c r="A6" s="6" t="s">
        <v>37</v>
      </c>
      <c r="B6" s="26">
        <v>73</v>
      </c>
    </row>
    <row r="7" spans="1:2" x14ac:dyDescent="0.35">
      <c r="A7" s="6" t="s">
        <v>175</v>
      </c>
      <c r="B7" s="26">
        <v>750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22FD-4F4D-400D-9048-367EDBEE2798}">
  <sheetPr>
    <tabColor theme="8" tint="0.59999389629810485"/>
  </sheetPr>
  <dimension ref="A1:B29"/>
  <sheetViews>
    <sheetView showGridLines="0" zoomScaleNormal="100" workbookViewId="0">
      <selection activeCell="A11" sqref="A3:B29"/>
    </sheetView>
  </sheetViews>
  <sheetFormatPr defaultRowHeight="14.5" x14ac:dyDescent="0.35"/>
  <cols>
    <col min="1" max="1" width="12.36328125" bestFit="1" customWidth="1"/>
    <col min="2" max="2" width="14.6328125" bestFit="1" customWidth="1"/>
  </cols>
  <sheetData>
    <row r="1" spans="1:2" x14ac:dyDescent="0.35">
      <c r="A1" s="5" t="s">
        <v>4</v>
      </c>
      <c r="B1" t="s">
        <v>187</v>
      </c>
    </row>
    <row r="3" spans="1:2" x14ac:dyDescent="0.35">
      <c r="A3" s="5" t="s">
        <v>174</v>
      </c>
      <c r="B3" t="s">
        <v>178</v>
      </c>
    </row>
    <row r="4" spans="1:2" x14ac:dyDescent="0.35">
      <c r="A4" s="6" t="s">
        <v>139</v>
      </c>
      <c r="B4" s="26">
        <v>30</v>
      </c>
    </row>
    <row r="5" spans="1:2" x14ac:dyDescent="0.35">
      <c r="A5" s="6" t="s">
        <v>63</v>
      </c>
      <c r="B5" s="26">
        <v>30</v>
      </c>
    </row>
    <row r="6" spans="1:2" x14ac:dyDescent="0.35">
      <c r="A6" s="6" t="s">
        <v>86</v>
      </c>
      <c r="B6" s="26">
        <v>30</v>
      </c>
    </row>
    <row r="7" spans="1:2" x14ac:dyDescent="0.35">
      <c r="A7" s="6" t="s">
        <v>12</v>
      </c>
      <c r="B7" s="26">
        <v>30</v>
      </c>
    </row>
    <row r="8" spans="1:2" x14ac:dyDescent="0.35">
      <c r="A8" s="6" t="s">
        <v>126</v>
      </c>
      <c r="B8" s="26">
        <v>30</v>
      </c>
    </row>
    <row r="9" spans="1:2" x14ac:dyDescent="0.35">
      <c r="A9" s="6" t="s">
        <v>103</v>
      </c>
      <c r="B9" s="26">
        <v>30</v>
      </c>
    </row>
    <row r="10" spans="1:2" x14ac:dyDescent="0.35">
      <c r="A10" s="6" t="s">
        <v>133</v>
      </c>
      <c r="B10" s="26">
        <v>30</v>
      </c>
    </row>
    <row r="11" spans="1:2" x14ac:dyDescent="0.35">
      <c r="A11" s="6" t="s">
        <v>49</v>
      </c>
      <c r="B11" s="26">
        <v>30</v>
      </c>
    </row>
    <row r="12" spans="1:2" x14ac:dyDescent="0.35">
      <c r="A12" s="6" t="s">
        <v>42</v>
      </c>
      <c r="B12" s="26">
        <v>30</v>
      </c>
    </row>
    <row r="13" spans="1:2" x14ac:dyDescent="0.35">
      <c r="A13" s="6" t="s">
        <v>31</v>
      </c>
      <c r="B13" s="26">
        <v>30</v>
      </c>
    </row>
    <row r="14" spans="1:2" x14ac:dyDescent="0.35">
      <c r="A14" s="6" t="s">
        <v>145</v>
      </c>
      <c r="B14" s="26">
        <v>30</v>
      </c>
    </row>
    <row r="15" spans="1:2" x14ac:dyDescent="0.35">
      <c r="A15" s="6" t="s">
        <v>51</v>
      </c>
      <c r="B15" s="26">
        <v>30</v>
      </c>
    </row>
    <row r="16" spans="1:2" x14ac:dyDescent="0.35">
      <c r="A16" s="6" t="s">
        <v>69</v>
      </c>
      <c r="B16" s="26">
        <v>30</v>
      </c>
    </row>
    <row r="17" spans="1:2" x14ac:dyDescent="0.35">
      <c r="A17" s="6" t="s">
        <v>36</v>
      </c>
      <c r="B17" s="26">
        <v>30</v>
      </c>
    </row>
    <row r="18" spans="1:2" x14ac:dyDescent="0.35">
      <c r="A18" s="6" t="s">
        <v>59</v>
      </c>
      <c r="B18" s="26">
        <v>30</v>
      </c>
    </row>
    <row r="19" spans="1:2" x14ac:dyDescent="0.35">
      <c r="A19" s="6" t="s">
        <v>33</v>
      </c>
      <c r="B19" s="26">
        <v>30</v>
      </c>
    </row>
    <row r="20" spans="1:2" x14ac:dyDescent="0.35">
      <c r="A20" s="6" t="s">
        <v>136</v>
      </c>
      <c r="B20" s="26">
        <v>30</v>
      </c>
    </row>
    <row r="21" spans="1:2" x14ac:dyDescent="0.35">
      <c r="A21" s="6" t="s">
        <v>52</v>
      </c>
      <c r="B21" s="26">
        <v>30</v>
      </c>
    </row>
    <row r="22" spans="1:2" x14ac:dyDescent="0.35">
      <c r="A22" s="6" t="s">
        <v>25</v>
      </c>
      <c r="B22" s="26">
        <v>30</v>
      </c>
    </row>
    <row r="23" spans="1:2" x14ac:dyDescent="0.35">
      <c r="A23" s="6" t="s">
        <v>149</v>
      </c>
      <c r="B23" s="26">
        <v>30</v>
      </c>
    </row>
    <row r="24" spans="1:2" x14ac:dyDescent="0.35">
      <c r="A24" s="6" t="s">
        <v>81</v>
      </c>
      <c r="B24" s="26">
        <v>30</v>
      </c>
    </row>
    <row r="25" spans="1:2" x14ac:dyDescent="0.35">
      <c r="A25" s="6" t="s">
        <v>74</v>
      </c>
      <c r="B25" s="26">
        <v>30</v>
      </c>
    </row>
    <row r="26" spans="1:2" x14ac:dyDescent="0.35">
      <c r="A26" s="6" t="s">
        <v>55</v>
      </c>
      <c r="B26" s="26">
        <v>30</v>
      </c>
    </row>
    <row r="27" spans="1:2" x14ac:dyDescent="0.35">
      <c r="A27" s="6" t="s">
        <v>114</v>
      </c>
      <c r="B27" s="26">
        <v>30</v>
      </c>
    </row>
    <row r="28" spans="1:2" x14ac:dyDescent="0.35">
      <c r="A28" s="6" t="s">
        <v>88</v>
      </c>
      <c r="B28" s="26">
        <v>30</v>
      </c>
    </row>
    <row r="29" spans="1:2" x14ac:dyDescent="0.35">
      <c r="A29" s="6" t="s">
        <v>175</v>
      </c>
      <c r="B29" s="26">
        <v>750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2F0DF-9414-4AEE-947E-89CA72F7BCAF}">
  <sheetPr>
    <tabColor theme="6" tint="-0.499984740745262"/>
  </sheetPr>
  <dimension ref="A3:B6"/>
  <sheetViews>
    <sheetView showGridLines="0" workbookViewId="0">
      <selection activeCell="G19" sqref="G19"/>
    </sheetView>
  </sheetViews>
  <sheetFormatPr defaultRowHeight="14.5" x14ac:dyDescent="0.35"/>
  <cols>
    <col min="1" max="1" width="12.36328125" bestFit="1" customWidth="1"/>
    <col min="2" max="2" width="14.6328125" bestFit="1" customWidth="1"/>
  </cols>
  <sheetData>
    <row r="3" spans="1:2" x14ac:dyDescent="0.35">
      <c r="A3" s="5" t="s">
        <v>174</v>
      </c>
      <c r="B3" t="s">
        <v>178</v>
      </c>
    </row>
    <row r="4" spans="1:2" x14ac:dyDescent="0.35">
      <c r="A4" s="6" t="s">
        <v>180</v>
      </c>
      <c r="B4" s="26">
        <v>152</v>
      </c>
    </row>
    <row r="5" spans="1:2" x14ac:dyDescent="0.35">
      <c r="A5" s="6" t="s">
        <v>179</v>
      </c>
      <c r="B5" s="26">
        <v>598</v>
      </c>
    </row>
    <row r="6" spans="1:2" x14ac:dyDescent="0.35">
      <c r="A6" s="6" t="s">
        <v>175</v>
      </c>
      <c r="B6" s="26">
        <v>750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DCD0-8D81-4E1E-8063-91EBFC8B255C}">
  <sheetPr>
    <tabColor rgb="FF0070C0"/>
  </sheetPr>
  <dimension ref="A1:L8"/>
  <sheetViews>
    <sheetView showGridLines="0" workbookViewId="0">
      <selection activeCell="B7" sqref="B7"/>
    </sheetView>
  </sheetViews>
  <sheetFormatPr defaultRowHeight="14.5" x14ac:dyDescent="0.35"/>
  <cols>
    <col min="1" max="1" width="53.08984375" bestFit="1" customWidth="1"/>
    <col min="2" max="3" width="5.81640625" bestFit="1" customWidth="1"/>
    <col min="4" max="4" width="22" bestFit="1" customWidth="1"/>
    <col min="5" max="5" width="4.36328125" bestFit="1" customWidth="1"/>
    <col min="6" max="6" width="26.90625" bestFit="1" customWidth="1"/>
    <col min="7" max="7" width="64.26953125" bestFit="1" customWidth="1"/>
    <col min="8" max="8" width="12.08984375" bestFit="1" customWidth="1"/>
    <col min="9" max="9" width="9.26953125" bestFit="1" customWidth="1"/>
    <col min="10" max="10" width="12.26953125" bestFit="1" customWidth="1"/>
    <col min="11" max="11" width="14" bestFit="1" customWidth="1"/>
  </cols>
  <sheetData>
    <row r="1" spans="1:12" s="18" customFormat="1" ht="21" x14ac:dyDescent="0.5">
      <c r="A1" s="15" t="s">
        <v>181</v>
      </c>
      <c r="B1" s="15"/>
      <c r="C1" s="17"/>
      <c r="D1" s="17"/>
      <c r="E1" s="17"/>
      <c r="F1" s="17"/>
      <c r="G1" s="17"/>
      <c r="H1" s="17"/>
      <c r="I1" s="17"/>
      <c r="J1" s="17"/>
      <c r="K1" s="17"/>
      <c r="L1" s="17"/>
    </row>
    <row r="2" spans="1:12" x14ac:dyDescent="0.35">
      <c r="A2" s="14"/>
      <c r="B2" s="16"/>
    </row>
    <row r="3" spans="1:12" x14ac:dyDescent="0.35">
      <c r="A3" s="9" t="s">
        <v>182</v>
      </c>
      <c r="B3" s="10">
        <f>COUNTA('Cleaned Data'!A3:A752)</f>
        <v>750</v>
      </c>
      <c r="C3" s="7"/>
      <c r="D3" s="12" t="s">
        <v>183</v>
      </c>
      <c r="E3" s="13">
        <f>AVERAGEIFS('Cleaned Data'!H3:H752,'Cleaned Data'!E3:E752,"&lt;&gt;Absent")</f>
        <v>9.365802675585293</v>
      </c>
      <c r="F3" s="7"/>
      <c r="I3" s="7"/>
      <c r="J3" s="7"/>
      <c r="K3" s="7"/>
      <c r="L3" s="7"/>
    </row>
    <row r="4" spans="1:12" x14ac:dyDescent="0.35">
      <c r="A4" s="9" t="s">
        <v>184</v>
      </c>
      <c r="B4" s="10" cm="1">
        <f t="array" ref="B4">COUNTA(_xlfn.UNIQUE(_xlfn._xlws.FILTER('Cleaned Data'!A3:A752,'Cleaned Data'!A3:A752&lt;&gt;"")))</f>
        <v>30</v>
      </c>
      <c r="C4" s="7"/>
      <c r="F4" s="7"/>
      <c r="I4" s="7"/>
      <c r="J4" s="7"/>
      <c r="K4" s="7"/>
      <c r="L4" s="7"/>
    </row>
    <row r="5" spans="1:12" x14ac:dyDescent="0.35">
      <c r="A5" s="9" t="s">
        <v>185</v>
      </c>
      <c r="B5" s="11">
        <f>(COUNTIF('Cleaned Data'!E3:E752,"Present")+COUNTIF('Cleaned Data'!E3:E752,"Work From Home"))/COUNTA('Cleaned Data'!A3:A752)</f>
        <v>0.79733333333333334</v>
      </c>
      <c r="C5" s="7"/>
      <c r="F5" s="7"/>
      <c r="I5" s="7"/>
      <c r="J5" s="7"/>
      <c r="K5" s="7"/>
      <c r="L5" s="7"/>
    </row>
    <row r="6" spans="1:12" x14ac:dyDescent="0.35">
      <c r="A6" s="19" t="s">
        <v>186</v>
      </c>
      <c r="B6" s="20">
        <f>COUNTIF('Cleaned Data'!E3:E752,"Absent")/COUNTA('Cleaned Data'!A3:A752)</f>
        <v>0.20266666666666666</v>
      </c>
      <c r="C6" s="7"/>
      <c r="F6" s="7"/>
      <c r="I6" s="7"/>
      <c r="J6" s="7"/>
      <c r="K6" s="7"/>
      <c r="L6" s="7"/>
    </row>
    <row r="7" spans="1:12" x14ac:dyDescent="0.35">
      <c r="A7" s="7"/>
      <c r="B7" s="7"/>
      <c r="C7" s="7"/>
      <c r="F7" s="7"/>
      <c r="G7" s="7"/>
      <c r="H7" s="7"/>
      <c r="I7" s="7"/>
      <c r="J7" s="7"/>
      <c r="K7" s="7"/>
      <c r="L7" s="7"/>
    </row>
    <row r="8" spans="1:12" x14ac:dyDescent="0.35">
      <c r="A8" s="7"/>
      <c r="B8" s="7"/>
      <c r="C8" s="7"/>
      <c r="F8" s="7"/>
      <c r="G8" s="7"/>
      <c r="H8" s="7"/>
      <c r="I8" s="7"/>
      <c r="J8" s="7"/>
      <c r="K8" s="7"/>
      <c r="L8" s="7"/>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D6100-A20C-44A2-A80F-05957293AE62}">
  <sheetPr>
    <tabColor theme="5"/>
  </sheetPr>
  <dimension ref="M15:S44"/>
  <sheetViews>
    <sheetView showGridLines="0" tabSelected="1" zoomScaleNormal="100" workbookViewId="0">
      <selection activeCell="M44" sqref="M44"/>
    </sheetView>
  </sheetViews>
  <sheetFormatPr defaultRowHeight="14.5" x14ac:dyDescent="0.35"/>
  <cols>
    <col min="1" max="16384" width="8.7265625" style="8"/>
  </cols>
  <sheetData>
    <row r="15" spans="19:19" x14ac:dyDescent="0.35">
      <c r="S15" s="8" t="s">
        <v>188</v>
      </c>
    </row>
    <row r="44" spans="13:13" x14ac:dyDescent="0.35">
      <c r="M44" s="8" t="s">
        <v>188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 Data</vt:lpstr>
      <vt:lpstr>Dept Attendance</vt:lpstr>
      <vt:lpstr>Status Overview</vt:lpstr>
      <vt:lpstr>Daily Trend</vt:lpstr>
      <vt:lpstr>Data Quality</vt:lpstr>
      <vt:lpstr>KPI 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2026-05-17T16:10:49Z</dcterms:created>
  <dcterms:modified xsi:type="dcterms:W3CDTF">2026-06-24T17:00:14Z</dcterms:modified>
  <dc:language>en-US</dc:language>
</cp:coreProperties>
</file>